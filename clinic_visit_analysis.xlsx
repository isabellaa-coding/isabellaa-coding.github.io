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_Data" sheetId="2" state="visible" r:id="rId4"/>
    <sheet name="Provider_Reference" sheetId="3" state="visible" r:id="rId5"/>
    <sheet name="Cleaned_Data" sheetId="4" state="visible" r:id="rId6"/>
    <sheet name="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<sst xmlns="http://schemas.openxmlformats.org/spreadsheetml/2006/main" count="263" uniqueCount="143">
  <si>
    <t xml:space="preserve">Clinic Visit Data Cleanup &amp; Dashboard</t>
  </si>
  <si>
    <t xml:space="preserve">A beginner-level Excel project simulating a common analyst task: taking a messy clinic visit export and turning it into a clean, reportable dashboard using formulas only (no VBA, no manually typed-in results).</t>
  </si>
  <si>
    <t xml:space="preserve">Tab guide</t>
  </si>
  <si>
    <t xml:space="preserve">Raw_Data</t>
  </si>
  <si>
    <t xml:space="preserve">Simulated raw export: 40 clinic visits with intentional messiness — inconsistent capitalization/spacing/punctuation in provider names, mixed-case No-Show values, and some blank/"N/A" wait times.</t>
  </si>
  <si>
    <t xml:space="preserve">Provider_Reference</t>
  </si>
  <si>
    <t xml:space="preserve">A small, clean lookup table mapping each provider to their department.</t>
  </si>
  <si>
    <t xml:space="preserve">Cleaned_Data</t>
  </si>
  <si>
    <t xml:space="preserve">Every column is a formula that reads from Raw_Data and standardizes it — nothing is typed in by hand.</t>
  </si>
  <si>
    <t xml:space="preserve">Dashboard</t>
  </si>
  <si>
    <t xml:space="preserve">Summary stats by department (total visits, no-shows, no-show rate, average wait time) plus a bar chart, all calculated live from Cleaned_Data.</t>
  </si>
  <si>
    <t xml:space="preserve">Techniques used</t>
  </si>
  <si>
    <t xml:space="preserve">•  Text cleaning: TRIM, PROPER, SUBSTITUTE, and a last-word extraction trick (RIGHT(SUBSTITUTE(text," ",REPT(" ",100)),100)) to pull a consistent surname out of a provider name no matter how it was originally formatted.</t>
  </si>
  <si>
    <t xml:space="preserve">•  Lookups: INDEX/MATCH (chosen over VLOOKUP for flexibility) to pull each provider's department from the reference tab.</t>
  </si>
  <si>
    <t xml:space="preserve">•  Error handling: IFERROR wraps every lookup and calculation so a bad match shows a readable message ("Check spelling") instead of a raw N slash A error.</t>
  </si>
  <si>
    <t xml:space="preserve">•  Conditional standardization: nested IF/LEFT logic to collapse messy No-Show entries into a clean Yes/No.</t>
  </si>
  <si>
    <t xml:space="preserve">•  Summary statistics: COUNTIF, COUNTIFS, and AVERAGEIFS to build department-level totals, no-show counts, no-show rate, and average wait time.</t>
  </si>
  <si>
    <t xml:space="preserve">•  Chart: a bar chart on the Dashboard tab visualizing total visits by department.</t>
  </si>
  <si>
    <t xml:space="preserve">Key assumptions</t>
  </si>
  <si>
    <t xml:space="preserve">•  Blank or non-numeric wait times are treated as missing (blank), not zero, so they don't skew the average.</t>
  </si>
  <si>
    <t xml:space="preserve">•  A No-Show value is only counted as "Yes" if it starts with "Y" after cleanup; anything else (including blanks) defaults to "No".</t>
  </si>
  <si>
    <t xml:space="preserve">•  All data is synthetic — generated for portfolio purposes and does not represent any real patient, provider, or clinic.</t>
  </si>
  <si>
    <t xml:space="preserve">Why this project</t>
  </si>
  <si>
    <t xml:space="preserve">Built as part of a transition into clinical data analytics — pairing a clinical background with hands-on Excel skills (lookups, conditional logic, error handling, and summary reporting) commonly used in health-system analyst roles.</t>
  </si>
  <si>
    <t xml:space="preserve">Visit ID</t>
  </si>
  <si>
    <t xml:space="preserve">Patient ID</t>
  </si>
  <si>
    <t xml:space="preserve">Visit Date</t>
  </si>
  <si>
    <t xml:space="preserve">Provider Name</t>
  </si>
  <si>
    <t xml:space="preserve">Visit Type</t>
  </si>
  <si>
    <t xml:space="preserve">No-Show</t>
  </si>
  <si>
    <t xml:space="preserve">Wait Time (min)</t>
  </si>
  <si>
    <t xml:space="preserve">V1001</t>
  </si>
  <si>
    <t xml:space="preserve">P241</t>
  </si>
  <si>
    <t xml:space="preserve">dr. smith </t>
  </si>
  <si>
    <t xml:space="preserve">New patient</t>
  </si>
  <si>
    <t xml:space="preserve">yes</t>
  </si>
  <si>
    <t xml:space="preserve">V1002</t>
  </si>
  <si>
    <t xml:space="preserve">P248</t>
  </si>
  <si>
    <t xml:space="preserve">Dr. Nguyen</t>
  </si>
  <si>
    <t xml:space="preserve">V1003</t>
  </si>
  <si>
    <t xml:space="preserve">P228</t>
  </si>
  <si>
    <t xml:space="preserve">Follow-up</t>
  </si>
  <si>
    <t xml:space="preserve">No</t>
  </si>
  <si>
    <t xml:space="preserve">V1004</t>
  </si>
  <si>
    <t xml:space="preserve">P202</t>
  </si>
  <si>
    <t xml:space="preserve"> dr smith</t>
  </si>
  <si>
    <t xml:space="preserve">No </t>
  </si>
  <si>
    <t xml:space="preserve">V1005</t>
  </si>
  <si>
    <t xml:space="preserve">P215</t>
  </si>
  <si>
    <t xml:space="preserve">DR PATEL</t>
  </si>
  <si>
    <t xml:space="preserve">Urgent</t>
  </si>
  <si>
    <t xml:space="preserve"> Yes</t>
  </si>
  <si>
    <t xml:space="preserve">V1006</t>
  </si>
  <si>
    <t xml:space="preserve">P252</t>
  </si>
  <si>
    <t xml:space="preserve">dr. nguyen </t>
  </si>
  <si>
    <t xml:space="preserve">follow-up</t>
  </si>
  <si>
    <t xml:space="preserve">V1007</t>
  </si>
  <si>
    <t xml:space="preserve">P249</t>
  </si>
  <si>
    <t xml:space="preserve">DR SMITH</t>
  </si>
  <si>
    <t xml:space="preserve">no</t>
  </si>
  <si>
    <t xml:space="preserve">V1008</t>
  </si>
  <si>
    <t xml:space="preserve">P255</t>
  </si>
  <si>
    <t xml:space="preserve">V1009</t>
  </si>
  <si>
    <t xml:space="preserve">P230</t>
  </si>
  <si>
    <t xml:space="preserve">Yes</t>
  </si>
  <si>
    <t xml:space="preserve">V1010</t>
  </si>
  <si>
    <t xml:space="preserve">DR. JONES </t>
  </si>
  <si>
    <t xml:space="preserve">URGENT</t>
  </si>
  <si>
    <t xml:space="preserve">V1011</t>
  </si>
  <si>
    <t xml:space="preserve">P243</t>
  </si>
  <si>
    <t xml:space="preserve">Dr. Jones</t>
  </si>
  <si>
    <t xml:space="preserve">V1012</t>
  </si>
  <si>
    <t xml:space="preserve">P225</t>
  </si>
  <si>
    <t xml:space="preserve">Dr. Patel</t>
  </si>
  <si>
    <t xml:space="preserve">V1013</t>
  </si>
  <si>
    <t xml:space="preserve">P223</t>
  </si>
  <si>
    <t xml:space="preserve">V1014</t>
  </si>
  <si>
    <t xml:space="preserve">P205</t>
  </si>
  <si>
    <t xml:space="preserve">New Patient</t>
  </si>
  <si>
    <t xml:space="preserve">V1015</t>
  </si>
  <si>
    <t xml:space="preserve">V1016</t>
  </si>
  <si>
    <t xml:space="preserve">P221</t>
  </si>
  <si>
    <t xml:space="preserve">V1017</t>
  </si>
  <si>
    <t xml:space="preserve">V1018</t>
  </si>
  <si>
    <t xml:space="preserve">P226</t>
  </si>
  <si>
    <t xml:space="preserve">N/A</t>
  </si>
  <si>
    <t xml:space="preserve">V1019</t>
  </si>
  <si>
    <t xml:space="preserve"> Dr Patel </t>
  </si>
  <si>
    <t xml:space="preserve">V1020</t>
  </si>
  <si>
    <t xml:space="preserve">V1021</t>
  </si>
  <si>
    <t xml:space="preserve">P204</t>
  </si>
  <si>
    <t xml:space="preserve">Dr. Smith</t>
  </si>
  <si>
    <t xml:space="preserve">V1022</t>
  </si>
  <si>
    <t xml:space="preserve">P239</t>
  </si>
  <si>
    <t xml:space="preserve">dr jones</t>
  </si>
  <si>
    <t xml:space="preserve">V1023</t>
  </si>
  <si>
    <t xml:space="preserve">P217</t>
  </si>
  <si>
    <t xml:space="preserve">V1024</t>
  </si>
  <si>
    <t xml:space="preserve">P257</t>
  </si>
  <si>
    <t xml:space="preserve">V1025</t>
  </si>
  <si>
    <t xml:space="preserve">V1026</t>
  </si>
  <si>
    <t xml:space="preserve">P233</t>
  </si>
  <si>
    <t xml:space="preserve">V1027</t>
  </si>
  <si>
    <t xml:space="preserve">V1028</t>
  </si>
  <si>
    <t xml:space="preserve">P235</t>
  </si>
  <si>
    <t xml:space="preserve">V1029</t>
  </si>
  <si>
    <t xml:space="preserve">P260</t>
  </si>
  <si>
    <t xml:space="preserve">V1030</t>
  </si>
  <si>
    <t xml:space="preserve">P206</t>
  </si>
  <si>
    <t xml:space="preserve">V1031</t>
  </si>
  <si>
    <t xml:space="preserve">V1032</t>
  </si>
  <si>
    <t xml:space="preserve">P211</t>
  </si>
  <si>
    <t xml:space="preserve">V1033</t>
  </si>
  <si>
    <t xml:space="preserve">V1034</t>
  </si>
  <si>
    <t xml:space="preserve">P242</t>
  </si>
  <si>
    <t xml:space="preserve">V1035</t>
  </si>
  <si>
    <t xml:space="preserve">V1036</t>
  </si>
  <si>
    <t xml:space="preserve">V1037</t>
  </si>
  <si>
    <t xml:space="preserve">V1038</t>
  </si>
  <si>
    <t xml:space="preserve">P232</t>
  </si>
  <si>
    <t xml:space="preserve">V1039</t>
  </si>
  <si>
    <t xml:space="preserve">P237</t>
  </si>
  <si>
    <t xml:space="preserve">V1040</t>
  </si>
  <si>
    <t xml:space="preserve">P207</t>
  </si>
  <si>
    <t xml:space="preserve">Note: This tab simulates a raw export — inconsistent capitalization/spacing in Provider Name, blank/"N/A" wait times, and mixed-case No-Show values are intentional and cleaned in the Cleaned_Data tab.</t>
  </si>
  <si>
    <t xml:space="preserve">Provider Name (Clean)</t>
  </si>
  <si>
    <t xml:space="preserve">Department</t>
  </si>
  <si>
    <t xml:space="preserve">Internal Medicine</t>
  </si>
  <si>
    <t xml:space="preserve">Family Practice</t>
  </si>
  <si>
    <t xml:space="preserve">Pediatrics</t>
  </si>
  <si>
    <t xml:space="preserve">Cardiology</t>
  </si>
  <si>
    <t xml:space="preserve">This is the clean, standardized list of providers used by INDEX/MATCH in Cleaned_Data.</t>
  </si>
  <si>
    <t xml:space="preserve">Visit Type (Clean)</t>
  </si>
  <si>
    <t xml:space="preserve">No-Show (Clean)</t>
  </si>
  <si>
    <t xml:space="preserve">Every column here is a formula that reads from Raw_Data — nothing is typed in by hand. That way if Raw_Data changes, this tab (and the dashboard) updates automatically.</t>
  </si>
  <si>
    <t xml:space="preserve">Clinic Visit Summary Dashboard</t>
  </si>
  <si>
    <t xml:space="preserve">By Department</t>
  </si>
  <si>
    <t xml:space="preserve">Total Visits</t>
  </si>
  <si>
    <t xml:space="preserve">No-Shows</t>
  </si>
  <si>
    <t xml:space="preserve">No-Show Rate</t>
  </si>
  <si>
    <t xml:space="preserve">Avg Wait Time (min)</t>
  </si>
  <si>
    <t xml:space="preserve">Total / Overall</t>
  </si>
  <si>
    <t xml:space="preserve">All figures are formulas (COUNTIF/COUNTIFS/AVERAGEIFS) pulling live from Cleaned_Data.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</si>
</sst>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0.0%"/>
    <numFmt numFmtId="167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Visits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Dashboard!B4</c:f>
              <c:strCache>
                <c:ptCount val="1"/>
                <c:pt idx="0">
                  <c:v>Total Visits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Dashboard!$A$5:$A$8</c:f>
              <c:strCache>
                <c:ptCount val="4"/>
                <c:pt idx="0">
                  <c:v>Internal Medicine</c:v>
                </c:pt>
                <c:pt idx="1">
                  <c:v>Family Practice</c:v>
                </c:pt>
                <c:pt idx="2">
                  <c:v>Pediatrics</c:v>
                </c:pt>
                <c:pt idx="3">
                  <c:v>Cardiology</c:v>
                </c:pt>
              </c:strCache>
            </c:strRef>
          </c:cat>
          <c:val>
            <c:numRef>
              <c:f>Dashboard!$B$5:$B$8</c:f>
              <c:numCache>
                <c:formatCode>General</c:formatCode>
                <c:ptCount val="4"/>
                <c:pt idx="0">
                  <c:v>14</c:v>
                </c:pt>
                <c:pt idx="1">
                  <c:v>9</c:v>
                </c:pt>
                <c:pt idx="2">
                  <c:v>12</c:v>
                </c:pt>
                <c:pt idx="3">
                  <c:v>5</c:v>
                </c:pt>
              </c:numCache>
            </c:numRef>
          </c:val>
        </c:ser>
        <c:gapWidth val="150"/>
        <c:overlap val="0"/>
        <c:axId val="49156322"/>
        <c:axId val="64490457"/>
      </c:barChart>
      <c:catAx>
        <c:axId val="491563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90457"/>
        <c:crosses val="autoZero"/>
        <c:auto val="1"/>
        <c:lblAlgn val="ctr"/>
        <c:lblOffset val="100"/>
        <c:noMultiLvlLbl val="0"/>
      </c:catAx>
      <c:valAx>
        <c:axId val="644904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Visits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1563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160560</xdr:rowOff>
    </xdr:from>
    <xdr:to>
      <xdr:col>4</xdr:col>
      <xdr:colOff>810360</xdr:colOff>
      <xdr:row>25</xdr:row>
      <xdr:rowOff>182880</xdr:rowOff>
    </xdr:to>
    <xdr:graphicFrame>
      <xdr:nvGraphicFramePr>
        <xdr:cNvPr id="0" name="Chart 1"/>
        <xdr:cNvGraphicFramePr/>
      </xdr:nvGraphicFramePr>
      <xdr:xfrm>
        <a:off x="0" y="2095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1.75" hidden="false" customHeight="true" outlineLevel="0" collapsed="false">
      <c r="A1" s="1" t="s">
        <v>0</v>
      </c>
    </row>
    <row r="2" customFormat="false" ht="30" hidden="false" customHeight="true" outlineLevel="0" collapsed="false"/>
    <row r="3" customFormat="false" ht="30" hidden="false" customHeight="true" outlineLevel="0" collapsed="false">
      <c r="A3" s="2" t="s">
        <v>1</v>
      </c>
    </row>
    <row r="4" customFormat="false" ht="30" hidden="false" customHeight="true" outlineLevel="0" collapsed="false"/>
    <row r="5" customFormat="false" ht="30" hidden="false" customHeight="true" outlineLevel="0" collapsed="false">
      <c r="A5" s="3" t="s">
        <v>2</v>
      </c>
    </row>
    <row r="6" customFormat="false" ht="30" hidden="false" customHeight="true" outlineLevel="0" collapsed="false"/>
    <row r="7" customFormat="false" ht="30" hidden="false" customHeight="true" outlineLevel="0" collapsed="false">
      <c r="A7" s="4" t="s">
        <v>3</v>
      </c>
    </row>
    <row r="8" customFormat="false" ht="30" hidden="false" customHeight="true" outlineLevel="0" collapsed="false">
      <c r="A8" s="2" t="s">
        <v>4</v>
      </c>
    </row>
    <row r="9" customFormat="false" ht="30" hidden="false" customHeight="true" outlineLevel="0" collapsed="false"/>
    <row r="10" customFormat="false" ht="30" hidden="false" customHeight="true" outlineLevel="0" collapsed="false">
      <c r="A10" s="4" t="s">
        <v>5</v>
      </c>
    </row>
    <row r="11" customFormat="false" ht="30" hidden="false" customHeight="true" outlineLevel="0" collapsed="false">
      <c r="A11" s="2" t="s">
        <v>6</v>
      </c>
    </row>
    <row r="12" customFormat="false" ht="30" hidden="false" customHeight="true" outlineLevel="0" collapsed="false"/>
    <row r="13" customFormat="false" ht="30" hidden="false" customHeight="true" outlineLevel="0" collapsed="false">
      <c r="A13" s="4" t="s">
        <v>7</v>
      </c>
    </row>
    <row r="14" customFormat="false" ht="30" hidden="false" customHeight="true" outlineLevel="0" collapsed="false">
      <c r="A14" s="2" t="s">
        <v>8</v>
      </c>
    </row>
    <row r="15" customFormat="false" ht="30" hidden="false" customHeight="true" outlineLevel="0" collapsed="false"/>
    <row r="16" customFormat="false" ht="30" hidden="false" customHeight="true" outlineLevel="0" collapsed="false">
      <c r="A16" s="4" t="s">
        <v>9</v>
      </c>
    </row>
    <row r="17" customFormat="false" ht="30" hidden="false" customHeight="true" outlineLevel="0" collapsed="false">
      <c r="A17" s="2" t="s">
        <v>10</v>
      </c>
    </row>
    <row r="18" customFormat="false" ht="30" hidden="false" customHeight="true" outlineLevel="0" collapsed="false"/>
    <row r="19" customFormat="false" ht="30" hidden="false" customHeight="true" outlineLevel="0" collapsed="false">
      <c r="A19" s="3" t="s">
        <v>11</v>
      </c>
    </row>
    <row r="20" customFormat="false" ht="30" hidden="false" customHeight="true" outlineLevel="0" collapsed="false"/>
    <row r="21" customFormat="false" ht="30" hidden="false" customHeight="true" outlineLevel="0" collapsed="false">
      <c r="A21" s="2" t="s">
        <v>12</v>
      </c>
    </row>
    <row r="22" customFormat="false" ht="30" hidden="false" customHeight="true" outlineLevel="0" collapsed="false"/>
    <row r="23" customFormat="false" ht="30" hidden="false" customHeight="true" outlineLevel="0" collapsed="false">
      <c r="A23" s="2" t="s">
        <v>13</v>
      </c>
    </row>
    <row r="24" customFormat="false" ht="30" hidden="false" customHeight="true" outlineLevel="0" collapsed="false"/>
    <row r="25" customFormat="false" ht="30" hidden="false" customHeight="true" outlineLevel="0" collapsed="false">
      <c r="A25" s="2" t="s">
        <v>14</v>
      </c>
    </row>
    <row r="26" customFormat="false" ht="30" hidden="false" customHeight="true" outlineLevel="0" collapsed="false"/>
    <row r="27" customFormat="false" ht="30" hidden="false" customHeight="true" outlineLevel="0" collapsed="false">
      <c r="A27" s="2" t="s">
        <v>15</v>
      </c>
    </row>
    <row r="28" customFormat="false" ht="30" hidden="false" customHeight="true" outlineLevel="0" collapsed="false"/>
    <row r="29" customFormat="false" ht="30" hidden="false" customHeight="true" outlineLevel="0" collapsed="false">
      <c r="A29" s="2" t="s">
        <v>16</v>
      </c>
    </row>
    <row r="30" customFormat="false" ht="30" hidden="false" customHeight="true" outlineLevel="0" collapsed="false"/>
    <row r="31" customFormat="false" ht="30" hidden="false" customHeight="true" outlineLevel="0" collapsed="false">
      <c r="A31" s="2" t="s">
        <v>17</v>
      </c>
    </row>
    <row r="32" customFormat="false" ht="30" hidden="false" customHeight="true" outlineLevel="0" collapsed="false"/>
    <row r="33" customFormat="false" ht="30" hidden="false" customHeight="true" outlineLevel="0" collapsed="false">
      <c r="A33" s="3" t="s">
        <v>18</v>
      </c>
    </row>
    <row r="34" customFormat="false" ht="30" hidden="false" customHeight="true" outlineLevel="0" collapsed="false"/>
    <row r="35" customFormat="false" ht="30" hidden="false" customHeight="true" outlineLevel="0" collapsed="false">
      <c r="A35" s="2" t="s">
        <v>19</v>
      </c>
    </row>
    <row r="36" customFormat="false" ht="30" hidden="false" customHeight="true" outlineLevel="0" collapsed="false"/>
    <row r="37" customFormat="false" ht="30" hidden="false" customHeight="true" outlineLevel="0" collapsed="false">
      <c r="A37" s="2" t="s">
        <v>20</v>
      </c>
    </row>
    <row r="38" customFormat="false" ht="30" hidden="false" customHeight="true" outlineLevel="0" collapsed="false"/>
    <row r="39" customFormat="false" ht="30" hidden="false" customHeight="true" outlineLevel="0" collapsed="false">
      <c r="A39" s="2" t="s">
        <v>21</v>
      </c>
    </row>
    <row r="40" customFormat="false" ht="30" hidden="false" customHeight="true" outlineLevel="0" collapsed="false"/>
    <row r="41" customFormat="false" ht="30" hidden="false" customHeight="true" outlineLevel="0" collapsed="false">
      <c r="A41" s="3" t="s">
        <v>22</v>
      </c>
    </row>
    <row r="42" customFormat="false" ht="30" hidden="false" customHeight="true" outlineLevel="0" collapsed="false"/>
    <row r="43" customFormat="false" ht="30" hidden="false" customHeight="true" outlineLevel="0" collapsed="false">
      <c r="A43" s="2" t="s">
        <v>23</v>
      </c>
    </row>
    <row r="44" customFormat="false" ht="30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</row>
    <row r="2" customFormat="false" ht="15" hidden="false" customHeight="false" outlineLevel="0" collapsed="false">
      <c r="A2" s="6" t="s">
        <v>31</v>
      </c>
      <c r="B2" s="6" t="s">
        <v>32</v>
      </c>
      <c r="C2" s="7" t="n">
        <v>45359</v>
      </c>
      <c r="D2" s="6" t="s">
        <v>33</v>
      </c>
      <c r="E2" s="6" t="s">
        <v>34</v>
      </c>
      <c r="F2" s="6" t="s">
        <v>35</v>
      </c>
      <c r="G2" s="6" t="n">
        <v>10</v>
      </c>
    </row>
    <row r="3" customFormat="false" ht="15" hidden="false" customHeight="false" outlineLevel="0" collapsed="false">
      <c r="A3" s="6" t="s">
        <v>36</v>
      </c>
      <c r="B3" s="6" t="s">
        <v>37</v>
      </c>
      <c r="C3" s="7" t="n">
        <v>45358</v>
      </c>
      <c r="D3" s="6" t="s">
        <v>38</v>
      </c>
      <c r="E3" s="6" t="s">
        <v>34</v>
      </c>
      <c r="F3" s="6"/>
      <c r="G3" s="6"/>
    </row>
    <row r="4" customFormat="false" ht="15" hidden="false" customHeight="false" outlineLevel="0" collapsed="false">
      <c r="A4" s="6" t="s">
        <v>39</v>
      </c>
      <c r="B4" s="6" t="s">
        <v>40</v>
      </c>
      <c r="C4" s="7" t="n">
        <v>45354</v>
      </c>
      <c r="D4" s="6" t="s">
        <v>33</v>
      </c>
      <c r="E4" s="6" t="s">
        <v>41</v>
      </c>
      <c r="F4" s="6" t="s">
        <v>42</v>
      </c>
      <c r="G4" s="6" t="n">
        <v>40</v>
      </c>
    </row>
    <row r="5" customFormat="false" ht="15" hidden="false" customHeight="false" outlineLevel="0" collapsed="false">
      <c r="A5" s="6" t="s">
        <v>43</v>
      </c>
      <c r="B5" s="6" t="s">
        <v>44</v>
      </c>
      <c r="C5" s="7" t="n">
        <v>45387</v>
      </c>
      <c r="D5" s="6" t="s">
        <v>45</v>
      </c>
      <c r="E5" s="6" t="s">
        <v>34</v>
      </c>
      <c r="F5" s="6" t="s">
        <v>46</v>
      </c>
      <c r="G5" s="6" t="n">
        <v>28</v>
      </c>
    </row>
    <row r="6" customFormat="false" ht="15" hidden="false" customHeight="false" outlineLevel="0" collapsed="false">
      <c r="A6" s="6" t="s">
        <v>47</v>
      </c>
      <c r="B6" s="6" t="s">
        <v>48</v>
      </c>
      <c r="C6" s="7" t="n">
        <v>45380</v>
      </c>
      <c r="D6" s="6" t="s">
        <v>49</v>
      </c>
      <c r="E6" s="6" t="s">
        <v>50</v>
      </c>
      <c r="F6" s="6" t="s">
        <v>51</v>
      </c>
      <c r="G6" s="6" t="n">
        <v>50</v>
      </c>
    </row>
    <row r="7" customFormat="false" ht="15" hidden="false" customHeight="false" outlineLevel="0" collapsed="false">
      <c r="A7" s="6" t="s">
        <v>52</v>
      </c>
      <c r="B7" s="6" t="s">
        <v>53</v>
      </c>
      <c r="C7" s="7" t="n">
        <v>45362</v>
      </c>
      <c r="D7" s="6" t="s">
        <v>54</v>
      </c>
      <c r="E7" s="6" t="s">
        <v>55</v>
      </c>
      <c r="F7" s="6" t="s">
        <v>35</v>
      </c>
      <c r="G7" s="6" t="n">
        <v>15</v>
      </c>
    </row>
    <row r="8" customFormat="false" ht="15" hidden="false" customHeight="false" outlineLevel="0" collapsed="false">
      <c r="A8" s="6" t="s">
        <v>56</v>
      </c>
      <c r="B8" s="6" t="s">
        <v>57</v>
      </c>
      <c r="C8" s="7" t="n">
        <v>45373</v>
      </c>
      <c r="D8" s="6" t="s">
        <v>58</v>
      </c>
      <c r="E8" s="6" t="s">
        <v>41</v>
      </c>
      <c r="F8" s="6" t="s">
        <v>59</v>
      </c>
      <c r="G8" s="6"/>
    </row>
    <row r="9" customFormat="false" ht="15" hidden="false" customHeight="false" outlineLevel="0" collapsed="false">
      <c r="A9" s="6" t="s">
        <v>60</v>
      </c>
      <c r="B9" s="6" t="s">
        <v>61</v>
      </c>
      <c r="C9" s="7" t="n">
        <v>45374</v>
      </c>
      <c r="D9" s="6" t="s">
        <v>49</v>
      </c>
      <c r="E9" s="6" t="s">
        <v>50</v>
      </c>
      <c r="F9" s="6" t="s">
        <v>51</v>
      </c>
      <c r="G9" s="6"/>
    </row>
    <row r="10" customFormat="false" ht="15" hidden="false" customHeight="false" outlineLevel="0" collapsed="false">
      <c r="A10" s="6" t="s">
        <v>62</v>
      </c>
      <c r="B10" s="6" t="s">
        <v>63</v>
      </c>
      <c r="C10" s="7" t="n">
        <v>45386</v>
      </c>
      <c r="D10" s="6" t="s">
        <v>58</v>
      </c>
      <c r="E10" s="6" t="s">
        <v>55</v>
      </c>
      <c r="F10" s="6" t="s">
        <v>64</v>
      </c>
      <c r="G10" s="6" t="n">
        <v>55</v>
      </c>
    </row>
    <row r="11" customFormat="false" ht="15" hidden="false" customHeight="false" outlineLevel="0" collapsed="false">
      <c r="A11" s="6" t="s">
        <v>65</v>
      </c>
      <c r="B11" s="6" t="s">
        <v>32</v>
      </c>
      <c r="C11" s="7" t="n">
        <v>45391</v>
      </c>
      <c r="D11" s="6" t="s">
        <v>66</v>
      </c>
      <c r="E11" s="6" t="s">
        <v>67</v>
      </c>
      <c r="F11" s="6" t="s">
        <v>42</v>
      </c>
      <c r="G11" s="6" t="n">
        <v>4</v>
      </c>
    </row>
    <row r="12" customFormat="false" ht="15" hidden="false" customHeight="false" outlineLevel="0" collapsed="false">
      <c r="A12" s="6" t="s">
        <v>68</v>
      </c>
      <c r="B12" s="6" t="s">
        <v>69</v>
      </c>
      <c r="C12" s="7" t="n">
        <v>45366</v>
      </c>
      <c r="D12" s="6" t="s">
        <v>70</v>
      </c>
      <c r="E12" s="6" t="s">
        <v>41</v>
      </c>
      <c r="F12" s="6" t="s">
        <v>51</v>
      </c>
      <c r="G12" s="6" t="n">
        <v>8</v>
      </c>
    </row>
    <row r="13" customFormat="false" ht="15" hidden="false" customHeight="false" outlineLevel="0" collapsed="false">
      <c r="A13" s="6" t="s">
        <v>71</v>
      </c>
      <c r="B13" s="6" t="s">
        <v>72</v>
      </c>
      <c r="C13" s="7" t="n">
        <v>45369</v>
      </c>
      <c r="D13" s="6" t="s">
        <v>73</v>
      </c>
      <c r="E13" s="6" t="s">
        <v>34</v>
      </c>
      <c r="F13" s="6" t="s">
        <v>51</v>
      </c>
      <c r="G13" s="6" t="n">
        <v>25</v>
      </c>
    </row>
    <row r="14" customFormat="false" ht="15" hidden="false" customHeight="false" outlineLevel="0" collapsed="false">
      <c r="A14" s="6" t="s">
        <v>74</v>
      </c>
      <c r="B14" s="6" t="s">
        <v>75</v>
      </c>
      <c r="C14" s="7" t="n">
        <v>45365</v>
      </c>
      <c r="D14" s="6" t="s">
        <v>38</v>
      </c>
      <c r="E14" s="6" t="s">
        <v>50</v>
      </c>
      <c r="F14" s="6" t="s">
        <v>46</v>
      </c>
      <c r="G14" s="6" t="n">
        <v>43</v>
      </c>
    </row>
    <row r="15" customFormat="false" ht="15" hidden="false" customHeight="false" outlineLevel="0" collapsed="false">
      <c r="A15" s="6" t="s">
        <v>76</v>
      </c>
      <c r="B15" s="6" t="s">
        <v>77</v>
      </c>
      <c r="C15" s="7" t="n">
        <v>45390</v>
      </c>
      <c r="D15" s="6" t="s">
        <v>38</v>
      </c>
      <c r="E15" s="6" t="s">
        <v>78</v>
      </c>
      <c r="F15" s="6"/>
      <c r="G15" s="6" t="n">
        <v>12</v>
      </c>
    </row>
    <row r="16" customFormat="false" ht="15" hidden="false" customHeight="false" outlineLevel="0" collapsed="false">
      <c r="A16" s="6" t="s">
        <v>79</v>
      </c>
      <c r="B16" s="6" t="s">
        <v>63</v>
      </c>
      <c r="C16" s="7" t="n">
        <v>45376</v>
      </c>
      <c r="D16" s="6" t="s">
        <v>70</v>
      </c>
      <c r="E16" s="6" t="s">
        <v>34</v>
      </c>
      <c r="F16" s="6" t="s">
        <v>46</v>
      </c>
      <c r="G16" s="6" t="n">
        <v>45</v>
      </c>
    </row>
    <row r="17" customFormat="false" ht="15" hidden="false" customHeight="false" outlineLevel="0" collapsed="false">
      <c r="A17" s="6" t="s">
        <v>80</v>
      </c>
      <c r="B17" s="6" t="s">
        <v>81</v>
      </c>
      <c r="C17" s="7" t="n">
        <v>45355</v>
      </c>
      <c r="D17" s="6" t="s">
        <v>45</v>
      </c>
      <c r="E17" s="6" t="s">
        <v>41</v>
      </c>
      <c r="F17" s="6" t="s">
        <v>51</v>
      </c>
      <c r="G17" s="6" t="n">
        <v>19</v>
      </c>
    </row>
    <row r="18" customFormat="false" ht="15" hidden="false" customHeight="false" outlineLevel="0" collapsed="false">
      <c r="A18" s="6" t="s">
        <v>82</v>
      </c>
      <c r="B18" s="6" t="s">
        <v>77</v>
      </c>
      <c r="C18" s="7" t="n">
        <v>45365</v>
      </c>
      <c r="D18" s="6" t="s">
        <v>49</v>
      </c>
      <c r="E18" s="6" t="s">
        <v>34</v>
      </c>
      <c r="F18" s="6" t="s">
        <v>35</v>
      </c>
      <c r="G18" s="6" t="n">
        <v>33</v>
      </c>
    </row>
    <row r="19" customFormat="false" ht="15" hidden="false" customHeight="false" outlineLevel="0" collapsed="false">
      <c r="A19" s="6" t="s">
        <v>83</v>
      </c>
      <c r="B19" s="6" t="s">
        <v>84</v>
      </c>
      <c r="C19" s="7" t="n">
        <v>45393</v>
      </c>
      <c r="D19" s="6" t="s">
        <v>73</v>
      </c>
      <c r="E19" s="6" t="s">
        <v>78</v>
      </c>
      <c r="F19" s="6" t="s">
        <v>35</v>
      </c>
      <c r="G19" s="6" t="s">
        <v>85</v>
      </c>
    </row>
    <row r="20" customFormat="false" ht="15" hidden="false" customHeight="false" outlineLevel="0" collapsed="false">
      <c r="A20" s="6" t="s">
        <v>86</v>
      </c>
      <c r="B20" s="6" t="s">
        <v>37</v>
      </c>
      <c r="C20" s="7" t="n">
        <v>45387</v>
      </c>
      <c r="D20" s="6" t="s">
        <v>87</v>
      </c>
      <c r="E20" s="6" t="s">
        <v>50</v>
      </c>
      <c r="F20" s="6" t="s">
        <v>46</v>
      </c>
      <c r="G20" s="6" t="n">
        <v>39</v>
      </c>
    </row>
    <row r="21" customFormat="false" ht="15" hidden="false" customHeight="false" outlineLevel="0" collapsed="false">
      <c r="A21" s="6" t="s">
        <v>88</v>
      </c>
      <c r="B21" s="6" t="s">
        <v>84</v>
      </c>
      <c r="C21" s="7" t="n">
        <v>45375</v>
      </c>
      <c r="D21" s="6" t="s">
        <v>45</v>
      </c>
      <c r="E21" s="6" t="s">
        <v>78</v>
      </c>
      <c r="F21" s="6"/>
      <c r="G21" s="6" t="n">
        <v>50</v>
      </c>
    </row>
    <row r="22" customFormat="false" ht="15" hidden="false" customHeight="false" outlineLevel="0" collapsed="false">
      <c r="A22" s="6" t="s">
        <v>89</v>
      </c>
      <c r="B22" s="6" t="s">
        <v>90</v>
      </c>
      <c r="C22" s="7" t="n">
        <v>45359</v>
      </c>
      <c r="D22" s="6" t="s">
        <v>91</v>
      </c>
      <c r="E22" s="6" t="s">
        <v>34</v>
      </c>
      <c r="F22" s="6" t="s">
        <v>42</v>
      </c>
      <c r="G22" s="6" t="n">
        <v>29</v>
      </c>
    </row>
    <row r="23" customFormat="false" ht="15" hidden="false" customHeight="false" outlineLevel="0" collapsed="false">
      <c r="A23" s="6" t="s">
        <v>92</v>
      </c>
      <c r="B23" s="6" t="s">
        <v>93</v>
      </c>
      <c r="C23" s="7" t="n">
        <v>45356</v>
      </c>
      <c r="D23" s="6" t="s">
        <v>94</v>
      </c>
      <c r="E23" s="6" t="s">
        <v>55</v>
      </c>
      <c r="F23" s="6"/>
      <c r="G23" s="6" t="n">
        <v>35</v>
      </c>
    </row>
    <row r="24" customFormat="false" ht="15" hidden="false" customHeight="false" outlineLevel="0" collapsed="false">
      <c r="A24" s="6" t="s">
        <v>95</v>
      </c>
      <c r="B24" s="6" t="s">
        <v>96</v>
      </c>
      <c r="C24" s="7" t="n">
        <v>45387</v>
      </c>
      <c r="D24" s="6" t="s">
        <v>33</v>
      </c>
      <c r="E24" s="6" t="s">
        <v>34</v>
      </c>
      <c r="F24" s="6" t="s">
        <v>46</v>
      </c>
      <c r="G24" s="6" t="s">
        <v>85</v>
      </c>
    </row>
    <row r="25" customFormat="false" ht="15" hidden="false" customHeight="false" outlineLevel="0" collapsed="false">
      <c r="A25" s="6" t="s">
        <v>97</v>
      </c>
      <c r="B25" s="6" t="s">
        <v>98</v>
      </c>
      <c r="C25" s="7" t="n">
        <v>45386</v>
      </c>
      <c r="D25" s="6" t="s">
        <v>70</v>
      </c>
      <c r="E25" s="6" t="s">
        <v>34</v>
      </c>
      <c r="F25" s="6" t="s">
        <v>35</v>
      </c>
      <c r="G25" s="6" t="s">
        <v>85</v>
      </c>
    </row>
    <row r="26" customFormat="false" ht="15" hidden="false" customHeight="false" outlineLevel="0" collapsed="false">
      <c r="A26" s="6" t="s">
        <v>99</v>
      </c>
      <c r="B26" s="6" t="s">
        <v>40</v>
      </c>
      <c r="C26" s="7" t="n">
        <v>45362</v>
      </c>
      <c r="D26" s="6" t="s">
        <v>73</v>
      </c>
      <c r="E26" s="6" t="s">
        <v>41</v>
      </c>
      <c r="F26" s="6" t="s">
        <v>46</v>
      </c>
      <c r="G26" s="6" t="n">
        <v>18</v>
      </c>
    </row>
    <row r="27" customFormat="false" ht="15" hidden="false" customHeight="false" outlineLevel="0" collapsed="false">
      <c r="A27" s="6" t="s">
        <v>100</v>
      </c>
      <c r="B27" s="6" t="s">
        <v>101</v>
      </c>
      <c r="C27" s="7" t="n">
        <v>45363</v>
      </c>
      <c r="D27" s="6" t="s">
        <v>87</v>
      </c>
      <c r="E27" s="6" t="s">
        <v>41</v>
      </c>
      <c r="F27" s="6" t="s">
        <v>51</v>
      </c>
      <c r="G27" s="6" t="n">
        <v>55</v>
      </c>
    </row>
    <row r="28" customFormat="false" ht="15" hidden="false" customHeight="false" outlineLevel="0" collapsed="false">
      <c r="A28" s="6" t="s">
        <v>102</v>
      </c>
      <c r="B28" s="6" t="s">
        <v>32</v>
      </c>
      <c r="C28" s="7" t="n">
        <v>45384</v>
      </c>
      <c r="D28" s="6" t="s">
        <v>49</v>
      </c>
      <c r="E28" s="6" t="s">
        <v>78</v>
      </c>
      <c r="F28" s="6" t="s">
        <v>42</v>
      </c>
      <c r="G28" s="6" t="n">
        <v>12</v>
      </c>
    </row>
    <row r="29" customFormat="false" ht="15" hidden="false" customHeight="false" outlineLevel="0" collapsed="false">
      <c r="A29" s="6" t="s">
        <v>103</v>
      </c>
      <c r="B29" s="6" t="s">
        <v>104</v>
      </c>
      <c r="C29" s="7" t="n">
        <v>45385</v>
      </c>
      <c r="D29" s="6" t="s">
        <v>33</v>
      </c>
      <c r="E29" s="6" t="s">
        <v>67</v>
      </c>
      <c r="F29" s="6" t="s">
        <v>35</v>
      </c>
      <c r="G29" s="6" t="n">
        <v>9</v>
      </c>
    </row>
    <row r="30" customFormat="false" ht="15" hidden="false" customHeight="false" outlineLevel="0" collapsed="false">
      <c r="A30" s="6" t="s">
        <v>105</v>
      </c>
      <c r="B30" s="6" t="s">
        <v>106</v>
      </c>
      <c r="C30" s="7" t="n">
        <v>45375</v>
      </c>
      <c r="D30" s="6" t="s">
        <v>70</v>
      </c>
      <c r="E30" s="6" t="s">
        <v>78</v>
      </c>
      <c r="F30" s="6" t="s">
        <v>64</v>
      </c>
      <c r="G30" s="6" t="n">
        <v>38</v>
      </c>
    </row>
    <row r="31" customFormat="false" ht="15" hidden="false" customHeight="false" outlineLevel="0" collapsed="false">
      <c r="A31" s="6" t="s">
        <v>107</v>
      </c>
      <c r="B31" s="6" t="s">
        <v>108</v>
      </c>
      <c r="C31" s="7" t="n">
        <v>45357</v>
      </c>
      <c r="D31" s="6" t="s">
        <v>54</v>
      </c>
      <c r="E31" s="6" t="s">
        <v>55</v>
      </c>
      <c r="F31" s="6" t="s">
        <v>51</v>
      </c>
      <c r="G31" s="6"/>
    </row>
    <row r="32" customFormat="false" ht="15" hidden="false" customHeight="false" outlineLevel="0" collapsed="false">
      <c r="A32" s="6" t="s">
        <v>109</v>
      </c>
      <c r="B32" s="6" t="s">
        <v>57</v>
      </c>
      <c r="C32" s="7" t="n">
        <v>45386</v>
      </c>
      <c r="D32" s="6" t="s">
        <v>91</v>
      </c>
      <c r="E32" s="6" t="s">
        <v>78</v>
      </c>
      <c r="F32" s="6" t="s">
        <v>46</v>
      </c>
      <c r="G32" s="6" t="n">
        <v>37</v>
      </c>
    </row>
    <row r="33" customFormat="false" ht="15" hidden="false" customHeight="false" outlineLevel="0" collapsed="false">
      <c r="A33" s="6" t="s">
        <v>110</v>
      </c>
      <c r="B33" s="6" t="s">
        <v>111</v>
      </c>
      <c r="C33" s="7" t="n">
        <v>45368</v>
      </c>
      <c r="D33" s="6" t="s">
        <v>87</v>
      </c>
      <c r="E33" s="6" t="s">
        <v>67</v>
      </c>
      <c r="F33" s="6" t="s">
        <v>59</v>
      </c>
      <c r="G33" s="6" t="n">
        <v>36</v>
      </c>
    </row>
    <row r="34" customFormat="false" ht="15" hidden="false" customHeight="false" outlineLevel="0" collapsed="false">
      <c r="A34" s="6" t="s">
        <v>112</v>
      </c>
      <c r="B34" s="6" t="s">
        <v>57</v>
      </c>
      <c r="C34" s="7" t="n">
        <v>45396</v>
      </c>
      <c r="D34" s="6" t="s">
        <v>45</v>
      </c>
      <c r="E34" s="6" t="s">
        <v>34</v>
      </c>
      <c r="F34" s="6" t="s">
        <v>35</v>
      </c>
      <c r="G34" s="6" t="n">
        <v>44</v>
      </c>
    </row>
    <row r="35" customFormat="false" ht="15" hidden="false" customHeight="false" outlineLevel="0" collapsed="false">
      <c r="A35" s="6" t="s">
        <v>113</v>
      </c>
      <c r="B35" s="6" t="s">
        <v>114</v>
      </c>
      <c r="C35" s="7" t="n">
        <v>45375</v>
      </c>
      <c r="D35" s="6" t="s">
        <v>73</v>
      </c>
      <c r="E35" s="6" t="s">
        <v>67</v>
      </c>
      <c r="F35" s="6" t="s">
        <v>59</v>
      </c>
      <c r="G35" s="6" t="s">
        <v>85</v>
      </c>
    </row>
    <row r="36" customFormat="false" ht="15" hidden="false" customHeight="false" outlineLevel="0" collapsed="false">
      <c r="A36" s="6" t="s">
        <v>115</v>
      </c>
      <c r="B36" s="6" t="s">
        <v>48</v>
      </c>
      <c r="C36" s="7" t="n">
        <v>45356</v>
      </c>
      <c r="D36" s="6" t="s">
        <v>66</v>
      </c>
      <c r="E36" s="6" t="s">
        <v>41</v>
      </c>
      <c r="F36" s="6"/>
      <c r="G36" s="6" t="n">
        <v>39</v>
      </c>
    </row>
    <row r="37" customFormat="false" ht="15" hidden="false" customHeight="false" outlineLevel="0" collapsed="false">
      <c r="A37" s="6" t="s">
        <v>116</v>
      </c>
      <c r="B37" s="6" t="s">
        <v>48</v>
      </c>
      <c r="C37" s="7" t="n">
        <v>45352</v>
      </c>
      <c r="D37" s="6" t="s">
        <v>58</v>
      </c>
      <c r="E37" s="6" t="s">
        <v>34</v>
      </c>
      <c r="F37" s="6" t="s">
        <v>46</v>
      </c>
      <c r="G37" s="6"/>
    </row>
    <row r="38" customFormat="false" ht="15" hidden="false" customHeight="false" outlineLevel="0" collapsed="false">
      <c r="A38" s="6" t="s">
        <v>117</v>
      </c>
      <c r="B38" s="6" t="s">
        <v>77</v>
      </c>
      <c r="C38" s="7" t="n">
        <v>45354</v>
      </c>
      <c r="D38" s="6" t="s">
        <v>66</v>
      </c>
      <c r="E38" s="6" t="s">
        <v>41</v>
      </c>
      <c r="F38" s="6"/>
      <c r="G38" s="6" t="n">
        <v>44</v>
      </c>
    </row>
    <row r="39" customFormat="false" ht="15" hidden="false" customHeight="false" outlineLevel="0" collapsed="false">
      <c r="A39" s="6" t="s">
        <v>118</v>
      </c>
      <c r="B39" s="6" t="s">
        <v>119</v>
      </c>
      <c r="C39" s="7" t="n">
        <v>45365</v>
      </c>
      <c r="D39" s="6" t="s">
        <v>87</v>
      </c>
      <c r="E39" s="6" t="s">
        <v>78</v>
      </c>
      <c r="F39" s="6" t="s">
        <v>46</v>
      </c>
      <c r="G39" s="6" t="n">
        <v>38</v>
      </c>
    </row>
    <row r="40" customFormat="false" ht="15" hidden="false" customHeight="false" outlineLevel="0" collapsed="false">
      <c r="A40" s="6" t="s">
        <v>120</v>
      </c>
      <c r="B40" s="6" t="s">
        <v>121</v>
      </c>
      <c r="C40" s="7" t="n">
        <v>45382</v>
      </c>
      <c r="D40" s="6" t="s">
        <v>45</v>
      </c>
      <c r="E40" s="6" t="s">
        <v>55</v>
      </c>
      <c r="F40" s="6" t="s">
        <v>51</v>
      </c>
      <c r="G40" s="6" t="n">
        <v>8</v>
      </c>
    </row>
    <row r="41" customFormat="false" ht="15" hidden="false" customHeight="false" outlineLevel="0" collapsed="false">
      <c r="A41" s="6" t="s">
        <v>122</v>
      </c>
      <c r="B41" s="6" t="s">
        <v>123</v>
      </c>
      <c r="C41" s="7" t="n">
        <v>45394</v>
      </c>
      <c r="D41" s="6" t="s">
        <v>94</v>
      </c>
      <c r="E41" s="6" t="s">
        <v>50</v>
      </c>
      <c r="F41" s="6" t="s">
        <v>59</v>
      </c>
      <c r="G41" s="6" t="n">
        <v>48</v>
      </c>
    </row>
    <row r="43" customFormat="false" ht="15" hidden="false" customHeight="false" outlineLevel="0" collapsed="false">
      <c r="A43" s="8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5" t="s">
        <v>125</v>
      </c>
      <c r="B1" s="5" t="s">
        <v>126</v>
      </c>
    </row>
    <row r="2" customFormat="false" ht="15" hidden="false" customHeight="false" outlineLevel="0" collapsed="false">
      <c r="A2" s="6" t="s">
        <v>91</v>
      </c>
      <c r="B2" s="6" t="s">
        <v>127</v>
      </c>
    </row>
    <row r="3" customFormat="false" ht="15" hidden="false" customHeight="false" outlineLevel="0" collapsed="false">
      <c r="A3" s="6" t="s">
        <v>70</v>
      </c>
      <c r="B3" s="6" t="s">
        <v>128</v>
      </c>
    </row>
    <row r="4" customFormat="false" ht="15" hidden="false" customHeight="false" outlineLevel="0" collapsed="false">
      <c r="A4" s="6" t="s">
        <v>73</v>
      </c>
      <c r="B4" s="6" t="s">
        <v>129</v>
      </c>
    </row>
    <row r="5" customFormat="false" ht="15" hidden="false" customHeight="false" outlineLevel="0" collapsed="false">
      <c r="A5" s="6" t="s">
        <v>38</v>
      </c>
      <c r="B5" s="6" t="s">
        <v>130</v>
      </c>
    </row>
    <row r="7" customFormat="false" ht="15" hidden="false" customHeight="false" outlineLevel="0" collapsed="false">
      <c r="A7" s="8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8" min="7" style="0" width="14"/>
  </cols>
  <sheetData>
    <row r="1" customFormat="false" ht="15" hidden="false" customHeight="false" outlineLevel="0" collapsed="false">
      <c r="A1" s="5" t="s">
        <v>24</v>
      </c>
      <c r="B1" s="5" t="s">
        <v>25</v>
      </c>
      <c r="C1" s="5" t="s">
        <v>26</v>
      </c>
      <c r="D1" s="5" t="s">
        <v>125</v>
      </c>
      <c r="E1" s="5" t="s">
        <v>126</v>
      </c>
      <c r="F1" s="5" t="s">
        <v>132</v>
      </c>
      <c r="G1" s="5" t="s">
        <v>133</v>
      </c>
      <c r="H1" s="5" t="s">
        <v>30</v>
      </c>
    </row>
    <row r="2" customFormat="false" ht="15" hidden="false" customHeight="false" outlineLevel="0" collapsed="false">
      <c r="A2" s="6" t="str">
        <f aca="false">Raw_Data!A2</f>
        <v>V1001</v>
      </c>
      <c r="B2" s="6" t="str">
        <f aca="false">Raw_Data!B2</f>
        <v>P241</v>
      </c>
      <c r="C2" s="7" t="n">
        <f aca="false">Raw_Data!C2</f>
        <v>45359</v>
      </c>
      <c r="D2" s="6" t="str">
        <f aca="false">"Dr. "&amp;PROPER(TRIM(RIGHT(SUBSTITUTE(TRIM(SUBSTITUTE(Raw_Data!D2,".",""))," ",REPT(" ",100)),100)))</f>
        <v>Dr. Smith</v>
      </c>
      <c r="E2" s="6" t="str">
        <f aca="false">IFERROR(INDEX(Provider_Reference!$B$2:$B$5,MATCH(D2,Provider_Reference!$A$2:$A$5,0)),"Check spelling")</f>
        <v>Internal Medicine</v>
      </c>
      <c r="F2" s="6" t="str">
        <f aca="false">PROPER(Raw_Data!E2)</f>
        <v>New Patient</v>
      </c>
      <c r="G2" s="6" t="str">
        <f aca="false">IF(LEFT(TRIM(PROPER(Raw_Data!F2)),1)="Y","Yes","No")</f>
        <v>Yes</v>
      </c>
      <c r="H2" s="6" t="n">
        <f aca="false">IFERROR(IF(Raw_Data!G2="","",IF(ISNUMBER(Raw_Data!G2),Raw_Data!G2,"")),"")</f>
        <v>10</v>
      </c>
    </row>
    <row r="3" customFormat="false" ht="15" hidden="false" customHeight="false" outlineLevel="0" collapsed="false">
      <c r="A3" s="6" t="str">
        <f aca="false">Raw_Data!A3</f>
        <v>V1002</v>
      </c>
      <c r="B3" s="6" t="str">
        <f aca="false">Raw_Data!B3</f>
        <v>P248</v>
      </c>
      <c r="C3" s="7" t="n">
        <f aca="false">Raw_Data!C3</f>
        <v>45358</v>
      </c>
      <c r="D3" s="6" t="str">
        <f aca="false">"Dr. "&amp;PROPER(TRIM(RIGHT(SUBSTITUTE(TRIM(SUBSTITUTE(Raw_Data!D3,".",""))," ",REPT(" ",100)),100)))</f>
        <v>Dr. Nguyen</v>
      </c>
      <c r="E3" s="6" t="str">
        <f aca="false">IFERROR(INDEX(Provider_Reference!$B$2:$B$5,MATCH(D3,Provider_Reference!$A$2:$A$5,0)),"Check spelling")</f>
        <v>Cardiology</v>
      </c>
      <c r="F3" s="6" t="str">
        <f aca="false">PROPER(Raw_Data!E3)</f>
        <v>New Patient</v>
      </c>
      <c r="G3" s="6" t="str">
        <f aca="false">IF(LEFT(TRIM(PROPER(Raw_Data!F3)),1)="Y","Yes","No")</f>
        <v>No</v>
      </c>
      <c r="H3" s="6" t="str">
        <f aca="false">IFERROR(IF(Raw_Data!G3="","",IF(ISNUMBER(Raw_Data!G3),Raw_Data!G3,"")),"")</f>
        <v/>
      </c>
    </row>
    <row r="4" customFormat="false" ht="15" hidden="false" customHeight="false" outlineLevel="0" collapsed="false">
      <c r="A4" s="6" t="str">
        <f aca="false">Raw_Data!A4</f>
        <v>V1003</v>
      </c>
      <c r="B4" s="6" t="str">
        <f aca="false">Raw_Data!B4</f>
        <v>P228</v>
      </c>
      <c r="C4" s="7" t="n">
        <f aca="false">Raw_Data!C4</f>
        <v>45354</v>
      </c>
      <c r="D4" s="6" t="str">
        <f aca="false">"Dr. "&amp;PROPER(TRIM(RIGHT(SUBSTITUTE(TRIM(SUBSTITUTE(Raw_Data!D4,".",""))," ",REPT(" ",100)),100)))</f>
        <v>Dr. Smith</v>
      </c>
      <c r="E4" s="6" t="str">
        <f aca="false">IFERROR(INDEX(Provider_Reference!$B$2:$B$5,MATCH(D4,Provider_Reference!$A$2:$A$5,0)),"Check spelling")</f>
        <v>Internal Medicine</v>
      </c>
      <c r="F4" s="6" t="str">
        <f aca="false">PROPER(Raw_Data!E4)</f>
        <v>Follow-Up</v>
      </c>
      <c r="G4" s="6" t="str">
        <f aca="false">IF(LEFT(TRIM(PROPER(Raw_Data!F4)),1)="Y","Yes","No")</f>
        <v>No</v>
      </c>
      <c r="H4" s="6" t="n">
        <f aca="false">IFERROR(IF(Raw_Data!G4="","",IF(ISNUMBER(Raw_Data!G4),Raw_Data!G4,"")),"")</f>
        <v>40</v>
      </c>
    </row>
    <row r="5" customFormat="false" ht="15" hidden="false" customHeight="false" outlineLevel="0" collapsed="false">
      <c r="A5" s="6" t="str">
        <f aca="false">Raw_Data!A5</f>
        <v>V1004</v>
      </c>
      <c r="B5" s="6" t="str">
        <f aca="false">Raw_Data!B5</f>
        <v>P202</v>
      </c>
      <c r="C5" s="7" t="n">
        <f aca="false">Raw_Data!C5</f>
        <v>45387</v>
      </c>
      <c r="D5" s="6" t="str">
        <f aca="false">"Dr. "&amp;PROPER(TRIM(RIGHT(SUBSTITUTE(TRIM(SUBSTITUTE(Raw_Data!D5,".",""))," ",REPT(" ",100)),100)))</f>
        <v>Dr. Smith</v>
      </c>
      <c r="E5" s="6" t="str">
        <f aca="false">IFERROR(INDEX(Provider_Reference!$B$2:$B$5,MATCH(D5,Provider_Reference!$A$2:$A$5,0)),"Check spelling")</f>
        <v>Internal Medicine</v>
      </c>
      <c r="F5" s="6" t="str">
        <f aca="false">PROPER(Raw_Data!E5)</f>
        <v>New Patient</v>
      </c>
      <c r="G5" s="6" t="str">
        <f aca="false">IF(LEFT(TRIM(PROPER(Raw_Data!F5)),1)="Y","Yes","No")</f>
        <v>No</v>
      </c>
      <c r="H5" s="6" t="n">
        <f aca="false">IFERROR(IF(Raw_Data!G5="","",IF(ISNUMBER(Raw_Data!G5),Raw_Data!G5,"")),"")</f>
        <v>28</v>
      </c>
    </row>
    <row r="6" customFormat="false" ht="15" hidden="false" customHeight="false" outlineLevel="0" collapsed="false">
      <c r="A6" s="6" t="str">
        <f aca="false">Raw_Data!A6</f>
        <v>V1005</v>
      </c>
      <c r="B6" s="6" t="str">
        <f aca="false">Raw_Data!B6</f>
        <v>P215</v>
      </c>
      <c r="C6" s="7" t="n">
        <f aca="false">Raw_Data!C6</f>
        <v>45380</v>
      </c>
      <c r="D6" s="6" t="str">
        <f aca="false">"Dr. "&amp;PROPER(TRIM(RIGHT(SUBSTITUTE(TRIM(SUBSTITUTE(Raw_Data!D6,".",""))," ",REPT(" ",100)),100)))</f>
        <v>Dr. Patel</v>
      </c>
      <c r="E6" s="6" t="str">
        <f aca="false">IFERROR(INDEX(Provider_Reference!$B$2:$B$5,MATCH(D6,Provider_Reference!$A$2:$A$5,0)),"Check spelling")</f>
        <v>Pediatrics</v>
      </c>
      <c r="F6" s="6" t="str">
        <f aca="false">PROPER(Raw_Data!E6)</f>
        <v>Urgent</v>
      </c>
      <c r="G6" s="6" t="str">
        <f aca="false">IF(LEFT(TRIM(PROPER(Raw_Data!F6)),1)="Y","Yes","No")</f>
        <v>Yes</v>
      </c>
      <c r="H6" s="6" t="n">
        <f aca="false">IFERROR(IF(Raw_Data!G6="","",IF(ISNUMBER(Raw_Data!G6),Raw_Data!G6,"")),"")</f>
        <v>50</v>
      </c>
    </row>
    <row r="7" customFormat="false" ht="15" hidden="false" customHeight="false" outlineLevel="0" collapsed="false">
      <c r="A7" s="6" t="str">
        <f aca="false">Raw_Data!A7</f>
        <v>V1006</v>
      </c>
      <c r="B7" s="6" t="str">
        <f aca="false">Raw_Data!B7</f>
        <v>P252</v>
      </c>
      <c r="C7" s="7" t="n">
        <f aca="false">Raw_Data!C7</f>
        <v>45362</v>
      </c>
      <c r="D7" s="6" t="str">
        <f aca="false">"Dr. "&amp;PROPER(TRIM(RIGHT(SUBSTITUTE(TRIM(SUBSTITUTE(Raw_Data!D7,".",""))," ",REPT(" ",100)),100)))</f>
        <v>Dr. Nguyen</v>
      </c>
      <c r="E7" s="6" t="str">
        <f aca="false">IFERROR(INDEX(Provider_Reference!$B$2:$B$5,MATCH(D7,Provider_Reference!$A$2:$A$5,0)),"Check spelling")</f>
        <v>Cardiology</v>
      </c>
      <c r="F7" s="6" t="str">
        <f aca="false">PROPER(Raw_Data!E7)</f>
        <v>Follow-Up</v>
      </c>
      <c r="G7" s="6" t="str">
        <f aca="false">IF(LEFT(TRIM(PROPER(Raw_Data!F7)),1)="Y","Yes","No")</f>
        <v>Yes</v>
      </c>
      <c r="H7" s="6" t="n">
        <f aca="false">IFERROR(IF(Raw_Data!G7="","",IF(ISNUMBER(Raw_Data!G7),Raw_Data!G7,"")),"")</f>
        <v>15</v>
      </c>
    </row>
    <row r="8" customFormat="false" ht="15" hidden="false" customHeight="false" outlineLevel="0" collapsed="false">
      <c r="A8" s="6" t="str">
        <f aca="false">Raw_Data!A8</f>
        <v>V1007</v>
      </c>
      <c r="B8" s="6" t="str">
        <f aca="false">Raw_Data!B8</f>
        <v>P249</v>
      </c>
      <c r="C8" s="7" t="n">
        <f aca="false">Raw_Data!C8</f>
        <v>45373</v>
      </c>
      <c r="D8" s="6" t="str">
        <f aca="false">"Dr. "&amp;PROPER(TRIM(RIGHT(SUBSTITUTE(TRIM(SUBSTITUTE(Raw_Data!D8,".",""))," ",REPT(" ",100)),100)))</f>
        <v>Dr. Smith</v>
      </c>
      <c r="E8" s="6" t="str">
        <f aca="false">IFERROR(INDEX(Provider_Reference!$B$2:$B$5,MATCH(D8,Provider_Reference!$A$2:$A$5,0)),"Check spelling")</f>
        <v>Internal Medicine</v>
      </c>
      <c r="F8" s="6" t="str">
        <f aca="false">PROPER(Raw_Data!E8)</f>
        <v>Follow-Up</v>
      </c>
      <c r="G8" s="6" t="str">
        <f aca="false">IF(LEFT(TRIM(PROPER(Raw_Data!F8)),1)="Y","Yes","No")</f>
        <v>No</v>
      </c>
      <c r="H8" s="6" t="str">
        <f aca="false">IFERROR(IF(Raw_Data!G8="","",IF(ISNUMBER(Raw_Data!G8),Raw_Data!G8,"")),"")</f>
        <v/>
      </c>
    </row>
    <row r="9" customFormat="false" ht="15" hidden="false" customHeight="false" outlineLevel="0" collapsed="false">
      <c r="A9" s="6" t="str">
        <f aca="false">Raw_Data!A9</f>
        <v>V1008</v>
      </c>
      <c r="B9" s="6" t="str">
        <f aca="false">Raw_Data!B9</f>
        <v>P255</v>
      </c>
      <c r="C9" s="7" t="n">
        <f aca="false">Raw_Data!C9</f>
        <v>45374</v>
      </c>
      <c r="D9" s="6" t="str">
        <f aca="false">"Dr. "&amp;PROPER(TRIM(RIGHT(SUBSTITUTE(TRIM(SUBSTITUTE(Raw_Data!D9,".",""))," ",REPT(" ",100)),100)))</f>
        <v>Dr. Patel</v>
      </c>
      <c r="E9" s="6" t="str">
        <f aca="false">IFERROR(INDEX(Provider_Reference!$B$2:$B$5,MATCH(D9,Provider_Reference!$A$2:$A$5,0)),"Check spelling")</f>
        <v>Pediatrics</v>
      </c>
      <c r="F9" s="6" t="str">
        <f aca="false">PROPER(Raw_Data!E9)</f>
        <v>Urgent</v>
      </c>
      <c r="G9" s="6" t="str">
        <f aca="false">IF(LEFT(TRIM(PROPER(Raw_Data!F9)),1)="Y","Yes","No")</f>
        <v>Yes</v>
      </c>
      <c r="H9" s="6" t="str">
        <f aca="false">IFERROR(IF(Raw_Data!G9="","",IF(ISNUMBER(Raw_Data!G9),Raw_Data!G9,"")),"")</f>
        <v/>
      </c>
    </row>
    <row r="10" customFormat="false" ht="15" hidden="false" customHeight="false" outlineLevel="0" collapsed="false">
      <c r="A10" s="6" t="str">
        <f aca="false">Raw_Data!A10</f>
        <v>V1009</v>
      </c>
      <c r="B10" s="6" t="str">
        <f aca="false">Raw_Data!B10</f>
        <v>P230</v>
      </c>
      <c r="C10" s="7" t="n">
        <f aca="false">Raw_Data!C10</f>
        <v>45386</v>
      </c>
      <c r="D10" s="6" t="str">
        <f aca="false">"Dr. "&amp;PROPER(TRIM(RIGHT(SUBSTITUTE(TRIM(SUBSTITUTE(Raw_Data!D10,".",""))," ",REPT(" ",100)),100)))</f>
        <v>Dr. Smith</v>
      </c>
      <c r="E10" s="6" t="str">
        <f aca="false">IFERROR(INDEX(Provider_Reference!$B$2:$B$5,MATCH(D10,Provider_Reference!$A$2:$A$5,0)),"Check spelling")</f>
        <v>Internal Medicine</v>
      </c>
      <c r="F10" s="6" t="str">
        <f aca="false">PROPER(Raw_Data!E10)</f>
        <v>Follow-Up</v>
      </c>
      <c r="G10" s="6" t="str">
        <f aca="false">IF(LEFT(TRIM(PROPER(Raw_Data!F10)),1)="Y","Yes","No")</f>
        <v>Yes</v>
      </c>
      <c r="H10" s="6" t="n">
        <f aca="false">IFERROR(IF(Raw_Data!G10="","",IF(ISNUMBER(Raw_Data!G10),Raw_Data!G10,"")),"")</f>
        <v>55</v>
      </c>
    </row>
    <row r="11" customFormat="false" ht="15" hidden="false" customHeight="false" outlineLevel="0" collapsed="false">
      <c r="A11" s="6" t="str">
        <f aca="false">Raw_Data!A11</f>
        <v>V1010</v>
      </c>
      <c r="B11" s="6" t="str">
        <f aca="false">Raw_Data!B11</f>
        <v>P241</v>
      </c>
      <c r="C11" s="7" t="n">
        <f aca="false">Raw_Data!C11</f>
        <v>45391</v>
      </c>
      <c r="D11" s="6" t="str">
        <f aca="false">"Dr. "&amp;PROPER(TRIM(RIGHT(SUBSTITUTE(TRIM(SUBSTITUTE(Raw_Data!D11,".",""))," ",REPT(" ",100)),100)))</f>
        <v>Dr. Jones</v>
      </c>
      <c r="E11" s="6" t="str">
        <f aca="false">IFERROR(INDEX(Provider_Reference!$B$2:$B$5,MATCH(D11,Provider_Reference!$A$2:$A$5,0)),"Check spelling")</f>
        <v>Family Practice</v>
      </c>
      <c r="F11" s="6" t="str">
        <f aca="false">PROPER(Raw_Data!E11)</f>
        <v>Urgent</v>
      </c>
      <c r="G11" s="6" t="str">
        <f aca="false">IF(LEFT(TRIM(PROPER(Raw_Data!F11)),1)="Y","Yes","No")</f>
        <v>No</v>
      </c>
      <c r="H11" s="6" t="n">
        <f aca="false">IFERROR(IF(Raw_Data!G11="","",IF(ISNUMBER(Raw_Data!G11),Raw_Data!G11,"")),"")</f>
        <v>4</v>
      </c>
    </row>
    <row r="12" customFormat="false" ht="15" hidden="false" customHeight="false" outlineLevel="0" collapsed="false">
      <c r="A12" s="6" t="str">
        <f aca="false">Raw_Data!A12</f>
        <v>V1011</v>
      </c>
      <c r="B12" s="6" t="str">
        <f aca="false">Raw_Data!B12</f>
        <v>P243</v>
      </c>
      <c r="C12" s="7" t="n">
        <f aca="false">Raw_Data!C12</f>
        <v>45366</v>
      </c>
      <c r="D12" s="6" t="str">
        <f aca="false">"Dr. "&amp;PROPER(TRIM(RIGHT(SUBSTITUTE(TRIM(SUBSTITUTE(Raw_Data!D12,".",""))," ",REPT(" ",100)),100)))</f>
        <v>Dr. Jones</v>
      </c>
      <c r="E12" s="6" t="str">
        <f aca="false">IFERROR(INDEX(Provider_Reference!$B$2:$B$5,MATCH(D12,Provider_Reference!$A$2:$A$5,0)),"Check spelling")</f>
        <v>Family Practice</v>
      </c>
      <c r="F12" s="6" t="str">
        <f aca="false">PROPER(Raw_Data!E12)</f>
        <v>Follow-Up</v>
      </c>
      <c r="G12" s="6" t="str">
        <f aca="false">IF(LEFT(TRIM(PROPER(Raw_Data!F12)),1)="Y","Yes","No")</f>
        <v>Yes</v>
      </c>
      <c r="H12" s="6" t="n">
        <f aca="false">IFERROR(IF(Raw_Data!G12="","",IF(ISNUMBER(Raw_Data!G12),Raw_Data!G12,"")),"")</f>
        <v>8</v>
      </c>
    </row>
    <row r="13" customFormat="false" ht="15" hidden="false" customHeight="false" outlineLevel="0" collapsed="false">
      <c r="A13" s="6" t="str">
        <f aca="false">Raw_Data!A13</f>
        <v>V1012</v>
      </c>
      <c r="B13" s="6" t="str">
        <f aca="false">Raw_Data!B13</f>
        <v>P225</v>
      </c>
      <c r="C13" s="7" t="n">
        <f aca="false">Raw_Data!C13</f>
        <v>45369</v>
      </c>
      <c r="D13" s="6" t="str">
        <f aca="false">"Dr. "&amp;PROPER(TRIM(RIGHT(SUBSTITUTE(TRIM(SUBSTITUTE(Raw_Data!D13,".",""))," ",REPT(" ",100)),100)))</f>
        <v>Dr. Patel</v>
      </c>
      <c r="E13" s="6" t="str">
        <f aca="false">IFERROR(INDEX(Provider_Reference!$B$2:$B$5,MATCH(D13,Provider_Reference!$A$2:$A$5,0)),"Check spelling")</f>
        <v>Pediatrics</v>
      </c>
      <c r="F13" s="6" t="str">
        <f aca="false">PROPER(Raw_Data!E13)</f>
        <v>New Patient</v>
      </c>
      <c r="G13" s="6" t="str">
        <f aca="false">IF(LEFT(TRIM(PROPER(Raw_Data!F13)),1)="Y","Yes","No")</f>
        <v>Yes</v>
      </c>
      <c r="H13" s="6" t="n">
        <f aca="false">IFERROR(IF(Raw_Data!G13="","",IF(ISNUMBER(Raw_Data!G13),Raw_Data!G13,"")),"")</f>
        <v>25</v>
      </c>
    </row>
    <row r="14" customFormat="false" ht="15" hidden="false" customHeight="false" outlineLevel="0" collapsed="false">
      <c r="A14" s="6" t="str">
        <f aca="false">Raw_Data!A14</f>
        <v>V1013</v>
      </c>
      <c r="B14" s="6" t="str">
        <f aca="false">Raw_Data!B14</f>
        <v>P223</v>
      </c>
      <c r="C14" s="7" t="n">
        <f aca="false">Raw_Data!C14</f>
        <v>45365</v>
      </c>
      <c r="D14" s="6" t="str">
        <f aca="false">"Dr. "&amp;PROPER(TRIM(RIGHT(SUBSTITUTE(TRIM(SUBSTITUTE(Raw_Data!D14,".",""))," ",REPT(" ",100)),100)))</f>
        <v>Dr. Nguyen</v>
      </c>
      <c r="E14" s="6" t="str">
        <f aca="false">IFERROR(INDEX(Provider_Reference!$B$2:$B$5,MATCH(D14,Provider_Reference!$A$2:$A$5,0)),"Check spelling")</f>
        <v>Cardiology</v>
      </c>
      <c r="F14" s="6" t="str">
        <f aca="false">PROPER(Raw_Data!E14)</f>
        <v>Urgent</v>
      </c>
      <c r="G14" s="6" t="str">
        <f aca="false">IF(LEFT(TRIM(PROPER(Raw_Data!F14)),1)="Y","Yes","No")</f>
        <v>No</v>
      </c>
      <c r="H14" s="6" t="n">
        <f aca="false">IFERROR(IF(Raw_Data!G14="","",IF(ISNUMBER(Raw_Data!G14),Raw_Data!G14,"")),"")</f>
        <v>43</v>
      </c>
    </row>
    <row r="15" customFormat="false" ht="15" hidden="false" customHeight="false" outlineLevel="0" collapsed="false">
      <c r="A15" s="6" t="str">
        <f aca="false">Raw_Data!A15</f>
        <v>V1014</v>
      </c>
      <c r="B15" s="6" t="str">
        <f aca="false">Raw_Data!B15</f>
        <v>P205</v>
      </c>
      <c r="C15" s="7" t="n">
        <f aca="false">Raw_Data!C15</f>
        <v>45390</v>
      </c>
      <c r="D15" s="6" t="str">
        <f aca="false">"Dr. "&amp;PROPER(TRIM(RIGHT(SUBSTITUTE(TRIM(SUBSTITUTE(Raw_Data!D15,".",""))," ",REPT(" ",100)),100)))</f>
        <v>Dr. Nguyen</v>
      </c>
      <c r="E15" s="6" t="str">
        <f aca="false">IFERROR(INDEX(Provider_Reference!$B$2:$B$5,MATCH(D15,Provider_Reference!$A$2:$A$5,0)),"Check spelling")</f>
        <v>Cardiology</v>
      </c>
      <c r="F15" s="6" t="str">
        <f aca="false">PROPER(Raw_Data!E15)</f>
        <v>New Patient</v>
      </c>
      <c r="G15" s="6" t="str">
        <f aca="false">IF(LEFT(TRIM(PROPER(Raw_Data!F15)),1)="Y","Yes","No")</f>
        <v>No</v>
      </c>
      <c r="H15" s="6" t="n">
        <f aca="false">IFERROR(IF(Raw_Data!G15="","",IF(ISNUMBER(Raw_Data!G15),Raw_Data!G15,"")),"")</f>
        <v>12</v>
      </c>
    </row>
    <row r="16" customFormat="false" ht="15" hidden="false" customHeight="false" outlineLevel="0" collapsed="false">
      <c r="A16" s="6" t="str">
        <f aca="false">Raw_Data!A16</f>
        <v>V1015</v>
      </c>
      <c r="B16" s="6" t="str">
        <f aca="false">Raw_Data!B16</f>
        <v>P230</v>
      </c>
      <c r="C16" s="7" t="n">
        <f aca="false">Raw_Data!C16</f>
        <v>45376</v>
      </c>
      <c r="D16" s="6" t="str">
        <f aca="false">"Dr. "&amp;PROPER(TRIM(RIGHT(SUBSTITUTE(TRIM(SUBSTITUTE(Raw_Data!D16,".",""))," ",REPT(" ",100)),100)))</f>
        <v>Dr. Jones</v>
      </c>
      <c r="E16" s="6" t="str">
        <f aca="false">IFERROR(INDEX(Provider_Reference!$B$2:$B$5,MATCH(D16,Provider_Reference!$A$2:$A$5,0)),"Check spelling")</f>
        <v>Family Practice</v>
      </c>
      <c r="F16" s="6" t="str">
        <f aca="false">PROPER(Raw_Data!E16)</f>
        <v>New Patient</v>
      </c>
      <c r="G16" s="6" t="str">
        <f aca="false">IF(LEFT(TRIM(PROPER(Raw_Data!F16)),1)="Y","Yes","No")</f>
        <v>No</v>
      </c>
      <c r="H16" s="6" t="n">
        <f aca="false">IFERROR(IF(Raw_Data!G16="","",IF(ISNUMBER(Raw_Data!G16),Raw_Data!G16,"")),"")</f>
        <v>45</v>
      </c>
    </row>
    <row r="17" customFormat="false" ht="15" hidden="false" customHeight="false" outlineLevel="0" collapsed="false">
      <c r="A17" s="6" t="str">
        <f aca="false">Raw_Data!A17</f>
        <v>V1016</v>
      </c>
      <c r="B17" s="6" t="str">
        <f aca="false">Raw_Data!B17</f>
        <v>P221</v>
      </c>
      <c r="C17" s="7" t="n">
        <f aca="false">Raw_Data!C17</f>
        <v>45355</v>
      </c>
      <c r="D17" s="6" t="str">
        <f aca="false">"Dr. "&amp;PROPER(TRIM(RIGHT(SUBSTITUTE(TRIM(SUBSTITUTE(Raw_Data!D17,".",""))," ",REPT(" ",100)),100)))</f>
        <v>Dr. Smith</v>
      </c>
      <c r="E17" s="6" t="str">
        <f aca="false">IFERROR(INDEX(Provider_Reference!$B$2:$B$5,MATCH(D17,Provider_Reference!$A$2:$A$5,0)),"Check spelling")</f>
        <v>Internal Medicine</v>
      </c>
      <c r="F17" s="6" t="str">
        <f aca="false">PROPER(Raw_Data!E17)</f>
        <v>Follow-Up</v>
      </c>
      <c r="G17" s="6" t="str">
        <f aca="false">IF(LEFT(TRIM(PROPER(Raw_Data!F17)),1)="Y","Yes","No")</f>
        <v>Yes</v>
      </c>
      <c r="H17" s="6" t="n">
        <f aca="false">IFERROR(IF(Raw_Data!G17="","",IF(ISNUMBER(Raw_Data!G17),Raw_Data!G17,"")),"")</f>
        <v>19</v>
      </c>
    </row>
    <row r="18" customFormat="false" ht="15" hidden="false" customHeight="false" outlineLevel="0" collapsed="false">
      <c r="A18" s="6" t="str">
        <f aca="false">Raw_Data!A18</f>
        <v>V1017</v>
      </c>
      <c r="B18" s="6" t="str">
        <f aca="false">Raw_Data!B18</f>
        <v>P205</v>
      </c>
      <c r="C18" s="7" t="n">
        <f aca="false">Raw_Data!C18</f>
        <v>45365</v>
      </c>
      <c r="D18" s="6" t="str">
        <f aca="false">"Dr. "&amp;PROPER(TRIM(RIGHT(SUBSTITUTE(TRIM(SUBSTITUTE(Raw_Data!D18,".",""))," ",REPT(" ",100)),100)))</f>
        <v>Dr. Patel</v>
      </c>
      <c r="E18" s="6" t="str">
        <f aca="false">IFERROR(INDEX(Provider_Reference!$B$2:$B$5,MATCH(D18,Provider_Reference!$A$2:$A$5,0)),"Check spelling")</f>
        <v>Pediatrics</v>
      </c>
      <c r="F18" s="6" t="str">
        <f aca="false">PROPER(Raw_Data!E18)</f>
        <v>New Patient</v>
      </c>
      <c r="G18" s="6" t="str">
        <f aca="false">IF(LEFT(TRIM(PROPER(Raw_Data!F18)),1)="Y","Yes","No")</f>
        <v>Yes</v>
      </c>
      <c r="H18" s="6" t="n">
        <f aca="false">IFERROR(IF(Raw_Data!G18="","",IF(ISNUMBER(Raw_Data!G18),Raw_Data!G18,"")),"")</f>
        <v>33</v>
      </c>
    </row>
    <row r="19" customFormat="false" ht="15" hidden="false" customHeight="false" outlineLevel="0" collapsed="false">
      <c r="A19" s="6" t="str">
        <f aca="false">Raw_Data!A19</f>
        <v>V1018</v>
      </c>
      <c r="B19" s="6" t="str">
        <f aca="false">Raw_Data!B19</f>
        <v>P226</v>
      </c>
      <c r="C19" s="7" t="n">
        <f aca="false">Raw_Data!C19</f>
        <v>45393</v>
      </c>
      <c r="D19" s="6" t="str">
        <f aca="false">"Dr. "&amp;PROPER(TRIM(RIGHT(SUBSTITUTE(TRIM(SUBSTITUTE(Raw_Data!D19,".",""))," ",REPT(" ",100)),100)))</f>
        <v>Dr. Patel</v>
      </c>
      <c r="E19" s="6" t="str">
        <f aca="false">IFERROR(INDEX(Provider_Reference!$B$2:$B$5,MATCH(D19,Provider_Reference!$A$2:$A$5,0)),"Check spelling")</f>
        <v>Pediatrics</v>
      </c>
      <c r="F19" s="6" t="str">
        <f aca="false">PROPER(Raw_Data!E19)</f>
        <v>New Patient</v>
      </c>
      <c r="G19" s="6" t="str">
        <f aca="false">IF(LEFT(TRIM(PROPER(Raw_Data!F19)),1)="Y","Yes","No")</f>
        <v>Yes</v>
      </c>
      <c r="H19" s="6" t="str">
        <f aca="false">IFERROR(IF(Raw_Data!G19="","",IF(ISNUMBER(Raw_Data!G19),Raw_Data!G19,"")),"")</f>
        <v/>
      </c>
    </row>
    <row r="20" customFormat="false" ht="15" hidden="false" customHeight="false" outlineLevel="0" collapsed="false">
      <c r="A20" s="6" t="str">
        <f aca="false">Raw_Data!A20</f>
        <v>V1019</v>
      </c>
      <c r="B20" s="6" t="str">
        <f aca="false">Raw_Data!B20</f>
        <v>P248</v>
      </c>
      <c r="C20" s="7" t="n">
        <f aca="false">Raw_Data!C20</f>
        <v>45387</v>
      </c>
      <c r="D20" s="6" t="str">
        <f aca="false">"Dr. "&amp;PROPER(TRIM(RIGHT(SUBSTITUTE(TRIM(SUBSTITUTE(Raw_Data!D20,".",""))," ",REPT(" ",100)),100)))</f>
        <v>Dr. Patel</v>
      </c>
      <c r="E20" s="6" t="str">
        <f aca="false">IFERROR(INDEX(Provider_Reference!$B$2:$B$5,MATCH(D20,Provider_Reference!$A$2:$A$5,0)),"Check spelling")</f>
        <v>Pediatrics</v>
      </c>
      <c r="F20" s="6" t="str">
        <f aca="false">PROPER(Raw_Data!E20)</f>
        <v>Urgent</v>
      </c>
      <c r="G20" s="6" t="str">
        <f aca="false">IF(LEFT(TRIM(PROPER(Raw_Data!F20)),1)="Y","Yes","No")</f>
        <v>No</v>
      </c>
      <c r="H20" s="6" t="n">
        <f aca="false">IFERROR(IF(Raw_Data!G20="","",IF(ISNUMBER(Raw_Data!G20),Raw_Data!G20,"")),"")</f>
        <v>39</v>
      </c>
    </row>
    <row r="21" customFormat="false" ht="15" hidden="false" customHeight="false" outlineLevel="0" collapsed="false">
      <c r="A21" s="6" t="str">
        <f aca="false">Raw_Data!A21</f>
        <v>V1020</v>
      </c>
      <c r="B21" s="6" t="str">
        <f aca="false">Raw_Data!B21</f>
        <v>P226</v>
      </c>
      <c r="C21" s="7" t="n">
        <f aca="false">Raw_Data!C21</f>
        <v>45375</v>
      </c>
      <c r="D21" s="6" t="str">
        <f aca="false">"Dr. "&amp;PROPER(TRIM(RIGHT(SUBSTITUTE(TRIM(SUBSTITUTE(Raw_Data!D21,".",""))," ",REPT(" ",100)),100)))</f>
        <v>Dr. Smith</v>
      </c>
      <c r="E21" s="6" t="str">
        <f aca="false">IFERROR(INDEX(Provider_Reference!$B$2:$B$5,MATCH(D21,Provider_Reference!$A$2:$A$5,0)),"Check spelling")</f>
        <v>Internal Medicine</v>
      </c>
      <c r="F21" s="6" t="str">
        <f aca="false">PROPER(Raw_Data!E21)</f>
        <v>New Patient</v>
      </c>
      <c r="G21" s="6" t="str">
        <f aca="false">IF(LEFT(TRIM(PROPER(Raw_Data!F21)),1)="Y","Yes","No")</f>
        <v>No</v>
      </c>
      <c r="H21" s="6" t="n">
        <f aca="false">IFERROR(IF(Raw_Data!G21="","",IF(ISNUMBER(Raw_Data!G21),Raw_Data!G21,"")),"")</f>
        <v>50</v>
      </c>
    </row>
    <row r="22" customFormat="false" ht="15" hidden="false" customHeight="false" outlineLevel="0" collapsed="false">
      <c r="A22" s="6" t="str">
        <f aca="false">Raw_Data!A22</f>
        <v>V1021</v>
      </c>
      <c r="B22" s="6" t="str">
        <f aca="false">Raw_Data!B22</f>
        <v>P204</v>
      </c>
      <c r="C22" s="7" t="n">
        <f aca="false">Raw_Data!C22</f>
        <v>45359</v>
      </c>
      <c r="D22" s="6" t="str">
        <f aca="false">"Dr. "&amp;PROPER(TRIM(RIGHT(SUBSTITUTE(TRIM(SUBSTITUTE(Raw_Data!D22,".",""))," ",REPT(" ",100)),100)))</f>
        <v>Dr. Smith</v>
      </c>
      <c r="E22" s="6" t="str">
        <f aca="false">IFERROR(INDEX(Provider_Reference!$B$2:$B$5,MATCH(D22,Provider_Reference!$A$2:$A$5,0)),"Check spelling")</f>
        <v>Internal Medicine</v>
      </c>
      <c r="F22" s="6" t="str">
        <f aca="false">PROPER(Raw_Data!E22)</f>
        <v>New Patient</v>
      </c>
      <c r="G22" s="6" t="str">
        <f aca="false">IF(LEFT(TRIM(PROPER(Raw_Data!F22)),1)="Y","Yes","No")</f>
        <v>No</v>
      </c>
      <c r="H22" s="6" t="n">
        <f aca="false">IFERROR(IF(Raw_Data!G22="","",IF(ISNUMBER(Raw_Data!G22),Raw_Data!G22,"")),"")</f>
        <v>29</v>
      </c>
    </row>
    <row r="23" customFormat="false" ht="15" hidden="false" customHeight="false" outlineLevel="0" collapsed="false">
      <c r="A23" s="6" t="str">
        <f aca="false">Raw_Data!A23</f>
        <v>V1022</v>
      </c>
      <c r="B23" s="6" t="str">
        <f aca="false">Raw_Data!B23</f>
        <v>P239</v>
      </c>
      <c r="C23" s="7" t="n">
        <f aca="false">Raw_Data!C23</f>
        <v>45356</v>
      </c>
      <c r="D23" s="6" t="str">
        <f aca="false">"Dr. "&amp;PROPER(TRIM(RIGHT(SUBSTITUTE(TRIM(SUBSTITUTE(Raw_Data!D23,".",""))," ",REPT(" ",100)),100)))</f>
        <v>Dr. Jones</v>
      </c>
      <c r="E23" s="6" t="str">
        <f aca="false">IFERROR(INDEX(Provider_Reference!$B$2:$B$5,MATCH(D23,Provider_Reference!$A$2:$A$5,0)),"Check spelling")</f>
        <v>Family Practice</v>
      </c>
      <c r="F23" s="6" t="str">
        <f aca="false">PROPER(Raw_Data!E23)</f>
        <v>Follow-Up</v>
      </c>
      <c r="G23" s="6" t="str">
        <f aca="false">IF(LEFT(TRIM(PROPER(Raw_Data!F23)),1)="Y","Yes","No")</f>
        <v>No</v>
      </c>
      <c r="H23" s="6" t="n">
        <f aca="false">IFERROR(IF(Raw_Data!G23="","",IF(ISNUMBER(Raw_Data!G23),Raw_Data!G23,"")),"")</f>
        <v>35</v>
      </c>
    </row>
    <row r="24" customFormat="false" ht="15" hidden="false" customHeight="false" outlineLevel="0" collapsed="false">
      <c r="A24" s="6" t="str">
        <f aca="false">Raw_Data!A24</f>
        <v>V1023</v>
      </c>
      <c r="B24" s="6" t="str">
        <f aca="false">Raw_Data!B24</f>
        <v>P217</v>
      </c>
      <c r="C24" s="7" t="n">
        <f aca="false">Raw_Data!C24</f>
        <v>45387</v>
      </c>
      <c r="D24" s="6" t="str">
        <f aca="false">"Dr. "&amp;PROPER(TRIM(RIGHT(SUBSTITUTE(TRIM(SUBSTITUTE(Raw_Data!D24,".",""))," ",REPT(" ",100)),100)))</f>
        <v>Dr. Smith</v>
      </c>
      <c r="E24" s="6" t="str">
        <f aca="false">IFERROR(INDEX(Provider_Reference!$B$2:$B$5,MATCH(D24,Provider_Reference!$A$2:$A$5,0)),"Check spelling")</f>
        <v>Internal Medicine</v>
      </c>
      <c r="F24" s="6" t="str">
        <f aca="false">PROPER(Raw_Data!E24)</f>
        <v>New Patient</v>
      </c>
      <c r="G24" s="6" t="str">
        <f aca="false">IF(LEFT(TRIM(PROPER(Raw_Data!F24)),1)="Y","Yes","No")</f>
        <v>No</v>
      </c>
      <c r="H24" s="6" t="str">
        <f aca="false">IFERROR(IF(Raw_Data!G24="","",IF(ISNUMBER(Raw_Data!G24),Raw_Data!G24,"")),"")</f>
        <v/>
      </c>
    </row>
    <row r="25" customFormat="false" ht="15" hidden="false" customHeight="false" outlineLevel="0" collapsed="false">
      <c r="A25" s="6" t="str">
        <f aca="false">Raw_Data!A25</f>
        <v>V1024</v>
      </c>
      <c r="B25" s="6" t="str">
        <f aca="false">Raw_Data!B25</f>
        <v>P257</v>
      </c>
      <c r="C25" s="7" t="n">
        <f aca="false">Raw_Data!C25</f>
        <v>45386</v>
      </c>
      <c r="D25" s="6" t="str">
        <f aca="false">"Dr. "&amp;PROPER(TRIM(RIGHT(SUBSTITUTE(TRIM(SUBSTITUTE(Raw_Data!D25,".",""))," ",REPT(" ",100)),100)))</f>
        <v>Dr. Jones</v>
      </c>
      <c r="E25" s="6" t="str">
        <f aca="false">IFERROR(INDEX(Provider_Reference!$B$2:$B$5,MATCH(D25,Provider_Reference!$A$2:$A$5,0)),"Check spelling")</f>
        <v>Family Practice</v>
      </c>
      <c r="F25" s="6" t="str">
        <f aca="false">PROPER(Raw_Data!E25)</f>
        <v>New Patient</v>
      </c>
      <c r="G25" s="6" t="str">
        <f aca="false">IF(LEFT(TRIM(PROPER(Raw_Data!F25)),1)="Y","Yes","No")</f>
        <v>Yes</v>
      </c>
      <c r="H25" s="6" t="str">
        <f aca="false">IFERROR(IF(Raw_Data!G25="","",IF(ISNUMBER(Raw_Data!G25),Raw_Data!G25,"")),"")</f>
        <v/>
      </c>
    </row>
    <row r="26" customFormat="false" ht="15" hidden="false" customHeight="false" outlineLevel="0" collapsed="false">
      <c r="A26" s="6" t="str">
        <f aca="false">Raw_Data!A26</f>
        <v>V1025</v>
      </c>
      <c r="B26" s="6" t="str">
        <f aca="false">Raw_Data!B26</f>
        <v>P228</v>
      </c>
      <c r="C26" s="7" t="n">
        <f aca="false">Raw_Data!C26</f>
        <v>45362</v>
      </c>
      <c r="D26" s="6" t="str">
        <f aca="false">"Dr. "&amp;PROPER(TRIM(RIGHT(SUBSTITUTE(TRIM(SUBSTITUTE(Raw_Data!D26,".",""))," ",REPT(" ",100)),100)))</f>
        <v>Dr. Patel</v>
      </c>
      <c r="E26" s="6" t="str">
        <f aca="false">IFERROR(INDEX(Provider_Reference!$B$2:$B$5,MATCH(D26,Provider_Reference!$A$2:$A$5,0)),"Check spelling")</f>
        <v>Pediatrics</v>
      </c>
      <c r="F26" s="6" t="str">
        <f aca="false">PROPER(Raw_Data!E26)</f>
        <v>Follow-Up</v>
      </c>
      <c r="G26" s="6" t="str">
        <f aca="false">IF(LEFT(TRIM(PROPER(Raw_Data!F26)),1)="Y","Yes","No")</f>
        <v>No</v>
      </c>
      <c r="H26" s="6" t="n">
        <f aca="false">IFERROR(IF(Raw_Data!G26="","",IF(ISNUMBER(Raw_Data!G26),Raw_Data!G26,"")),"")</f>
        <v>18</v>
      </c>
    </row>
    <row r="27" customFormat="false" ht="15" hidden="false" customHeight="false" outlineLevel="0" collapsed="false">
      <c r="A27" s="6" t="str">
        <f aca="false">Raw_Data!A27</f>
        <v>V1026</v>
      </c>
      <c r="B27" s="6" t="str">
        <f aca="false">Raw_Data!B27</f>
        <v>P233</v>
      </c>
      <c r="C27" s="7" t="n">
        <f aca="false">Raw_Data!C27</f>
        <v>45363</v>
      </c>
      <c r="D27" s="6" t="str">
        <f aca="false">"Dr. "&amp;PROPER(TRIM(RIGHT(SUBSTITUTE(TRIM(SUBSTITUTE(Raw_Data!D27,".",""))," ",REPT(" ",100)),100)))</f>
        <v>Dr. Patel</v>
      </c>
      <c r="E27" s="6" t="str">
        <f aca="false">IFERROR(INDEX(Provider_Reference!$B$2:$B$5,MATCH(D27,Provider_Reference!$A$2:$A$5,0)),"Check spelling")</f>
        <v>Pediatrics</v>
      </c>
      <c r="F27" s="6" t="str">
        <f aca="false">PROPER(Raw_Data!E27)</f>
        <v>Follow-Up</v>
      </c>
      <c r="G27" s="6" t="str">
        <f aca="false">IF(LEFT(TRIM(PROPER(Raw_Data!F27)),1)="Y","Yes","No")</f>
        <v>Yes</v>
      </c>
      <c r="H27" s="6" t="n">
        <f aca="false">IFERROR(IF(Raw_Data!G27="","",IF(ISNUMBER(Raw_Data!G27),Raw_Data!G27,"")),"")</f>
        <v>55</v>
      </c>
    </row>
    <row r="28" customFormat="false" ht="15" hidden="false" customHeight="false" outlineLevel="0" collapsed="false">
      <c r="A28" s="6" t="str">
        <f aca="false">Raw_Data!A28</f>
        <v>V1027</v>
      </c>
      <c r="B28" s="6" t="str">
        <f aca="false">Raw_Data!B28</f>
        <v>P241</v>
      </c>
      <c r="C28" s="7" t="n">
        <f aca="false">Raw_Data!C28</f>
        <v>45384</v>
      </c>
      <c r="D28" s="6" t="str">
        <f aca="false">"Dr. "&amp;PROPER(TRIM(RIGHT(SUBSTITUTE(TRIM(SUBSTITUTE(Raw_Data!D28,".",""))," ",REPT(" ",100)),100)))</f>
        <v>Dr. Patel</v>
      </c>
      <c r="E28" s="6" t="str">
        <f aca="false">IFERROR(INDEX(Provider_Reference!$B$2:$B$5,MATCH(D28,Provider_Reference!$A$2:$A$5,0)),"Check spelling")</f>
        <v>Pediatrics</v>
      </c>
      <c r="F28" s="6" t="str">
        <f aca="false">PROPER(Raw_Data!E28)</f>
        <v>New Patient</v>
      </c>
      <c r="G28" s="6" t="str">
        <f aca="false">IF(LEFT(TRIM(PROPER(Raw_Data!F28)),1)="Y","Yes","No")</f>
        <v>No</v>
      </c>
      <c r="H28" s="6" t="n">
        <f aca="false">IFERROR(IF(Raw_Data!G28="","",IF(ISNUMBER(Raw_Data!G28),Raw_Data!G28,"")),"")</f>
        <v>12</v>
      </c>
    </row>
    <row r="29" customFormat="false" ht="15" hidden="false" customHeight="false" outlineLevel="0" collapsed="false">
      <c r="A29" s="6" t="str">
        <f aca="false">Raw_Data!A29</f>
        <v>V1028</v>
      </c>
      <c r="B29" s="6" t="str">
        <f aca="false">Raw_Data!B29</f>
        <v>P235</v>
      </c>
      <c r="C29" s="7" t="n">
        <f aca="false">Raw_Data!C29</f>
        <v>45385</v>
      </c>
      <c r="D29" s="6" t="str">
        <f aca="false">"Dr. "&amp;PROPER(TRIM(RIGHT(SUBSTITUTE(TRIM(SUBSTITUTE(Raw_Data!D29,".",""))," ",REPT(" ",100)),100)))</f>
        <v>Dr. Smith</v>
      </c>
      <c r="E29" s="6" t="str">
        <f aca="false">IFERROR(INDEX(Provider_Reference!$B$2:$B$5,MATCH(D29,Provider_Reference!$A$2:$A$5,0)),"Check spelling")</f>
        <v>Internal Medicine</v>
      </c>
      <c r="F29" s="6" t="str">
        <f aca="false">PROPER(Raw_Data!E29)</f>
        <v>Urgent</v>
      </c>
      <c r="G29" s="6" t="str">
        <f aca="false">IF(LEFT(TRIM(PROPER(Raw_Data!F29)),1)="Y","Yes","No")</f>
        <v>Yes</v>
      </c>
      <c r="H29" s="6" t="n">
        <f aca="false">IFERROR(IF(Raw_Data!G29="","",IF(ISNUMBER(Raw_Data!G29),Raw_Data!G29,"")),"")</f>
        <v>9</v>
      </c>
    </row>
    <row r="30" customFormat="false" ht="15" hidden="false" customHeight="false" outlineLevel="0" collapsed="false">
      <c r="A30" s="6" t="str">
        <f aca="false">Raw_Data!A30</f>
        <v>V1029</v>
      </c>
      <c r="B30" s="6" t="str">
        <f aca="false">Raw_Data!B30</f>
        <v>P260</v>
      </c>
      <c r="C30" s="7" t="n">
        <f aca="false">Raw_Data!C30</f>
        <v>45375</v>
      </c>
      <c r="D30" s="6" t="str">
        <f aca="false">"Dr. "&amp;PROPER(TRIM(RIGHT(SUBSTITUTE(TRIM(SUBSTITUTE(Raw_Data!D30,".",""))," ",REPT(" ",100)),100)))</f>
        <v>Dr. Jones</v>
      </c>
      <c r="E30" s="6" t="str">
        <f aca="false">IFERROR(INDEX(Provider_Reference!$B$2:$B$5,MATCH(D30,Provider_Reference!$A$2:$A$5,0)),"Check spelling")</f>
        <v>Family Practice</v>
      </c>
      <c r="F30" s="6" t="str">
        <f aca="false">PROPER(Raw_Data!E30)</f>
        <v>New Patient</v>
      </c>
      <c r="G30" s="6" t="str">
        <f aca="false">IF(LEFT(TRIM(PROPER(Raw_Data!F30)),1)="Y","Yes","No")</f>
        <v>Yes</v>
      </c>
      <c r="H30" s="6" t="n">
        <f aca="false">IFERROR(IF(Raw_Data!G30="","",IF(ISNUMBER(Raw_Data!G30),Raw_Data!G30,"")),"")</f>
        <v>38</v>
      </c>
    </row>
    <row r="31" customFormat="false" ht="15" hidden="false" customHeight="false" outlineLevel="0" collapsed="false">
      <c r="A31" s="6" t="str">
        <f aca="false">Raw_Data!A31</f>
        <v>V1030</v>
      </c>
      <c r="B31" s="6" t="str">
        <f aca="false">Raw_Data!B31</f>
        <v>P206</v>
      </c>
      <c r="C31" s="7" t="n">
        <f aca="false">Raw_Data!C31</f>
        <v>45357</v>
      </c>
      <c r="D31" s="6" t="str">
        <f aca="false">"Dr. "&amp;PROPER(TRIM(RIGHT(SUBSTITUTE(TRIM(SUBSTITUTE(Raw_Data!D31,".",""))," ",REPT(" ",100)),100)))</f>
        <v>Dr. Nguyen</v>
      </c>
      <c r="E31" s="6" t="str">
        <f aca="false">IFERROR(INDEX(Provider_Reference!$B$2:$B$5,MATCH(D31,Provider_Reference!$A$2:$A$5,0)),"Check spelling")</f>
        <v>Cardiology</v>
      </c>
      <c r="F31" s="6" t="str">
        <f aca="false">PROPER(Raw_Data!E31)</f>
        <v>Follow-Up</v>
      </c>
      <c r="G31" s="6" t="str">
        <f aca="false">IF(LEFT(TRIM(PROPER(Raw_Data!F31)),1)="Y","Yes","No")</f>
        <v>Yes</v>
      </c>
      <c r="H31" s="6" t="str">
        <f aca="false">IFERROR(IF(Raw_Data!G31="","",IF(ISNUMBER(Raw_Data!G31),Raw_Data!G31,"")),"")</f>
        <v/>
      </c>
    </row>
    <row r="32" customFormat="false" ht="15" hidden="false" customHeight="false" outlineLevel="0" collapsed="false">
      <c r="A32" s="6" t="str">
        <f aca="false">Raw_Data!A32</f>
        <v>V1031</v>
      </c>
      <c r="B32" s="6" t="str">
        <f aca="false">Raw_Data!B32</f>
        <v>P249</v>
      </c>
      <c r="C32" s="7" t="n">
        <f aca="false">Raw_Data!C32</f>
        <v>45386</v>
      </c>
      <c r="D32" s="6" t="str">
        <f aca="false">"Dr. "&amp;PROPER(TRIM(RIGHT(SUBSTITUTE(TRIM(SUBSTITUTE(Raw_Data!D32,".",""))," ",REPT(" ",100)),100)))</f>
        <v>Dr. Smith</v>
      </c>
      <c r="E32" s="6" t="str">
        <f aca="false">IFERROR(INDEX(Provider_Reference!$B$2:$B$5,MATCH(D32,Provider_Reference!$A$2:$A$5,0)),"Check spelling")</f>
        <v>Internal Medicine</v>
      </c>
      <c r="F32" s="6" t="str">
        <f aca="false">PROPER(Raw_Data!E32)</f>
        <v>New Patient</v>
      </c>
      <c r="G32" s="6" t="str">
        <f aca="false">IF(LEFT(TRIM(PROPER(Raw_Data!F32)),1)="Y","Yes","No")</f>
        <v>No</v>
      </c>
      <c r="H32" s="6" t="n">
        <f aca="false">IFERROR(IF(Raw_Data!G32="","",IF(ISNUMBER(Raw_Data!G32),Raw_Data!G32,"")),"")</f>
        <v>37</v>
      </c>
    </row>
    <row r="33" customFormat="false" ht="15" hidden="false" customHeight="false" outlineLevel="0" collapsed="false">
      <c r="A33" s="6" t="str">
        <f aca="false">Raw_Data!A33</f>
        <v>V1032</v>
      </c>
      <c r="B33" s="6" t="str">
        <f aca="false">Raw_Data!B33</f>
        <v>P211</v>
      </c>
      <c r="C33" s="7" t="n">
        <f aca="false">Raw_Data!C33</f>
        <v>45368</v>
      </c>
      <c r="D33" s="6" t="str">
        <f aca="false">"Dr. "&amp;PROPER(TRIM(RIGHT(SUBSTITUTE(TRIM(SUBSTITUTE(Raw_Data!D33,".",""))," ",REPT(" ",100)),100)))</f>
        <v>Dr. Patel</v>
      </c>
      <c r="E33" s="6" t="str">
        <f aca="false">IFERROR(INDEX(Provider_Reference!$B$2:$B$5,MATCH(D33,Provider_Reference!$A$2:$A$5,0)),"Check spelling")</f>
        <v>Pediatrics</v>
      </c>
      <c r="F33" s="6" t="str">
        <f aca="false">PROPER(Raw_Data!E33)</f>
        <v>Urgent</v>
      </c>
      <c r="G33" s="6" t="str">
        <f aca="false">IF(LEFT(TRIM(PROPER(Raw_Data!F33)),1)="Y","Yes","No")</f>
        <v>No</v>
      </c>
      <c r="H33" s="6" t="n">
        <f aca="false">IFERROR(IF(Raw_Data!G33="","",IF(ISNUMBER(Raw_Data!G33),Raw_Data!G33,"")),"")</f>
        <v>36</v>
      </c>
    </row>
    <row r="34" customFormat="false" ht="15" hidden="false" customHeight="false" outlineLevel="0" collapsed="false">
      <c r="A34" s="6" t="str">
        <f aca="false">Raw_Data!A34</f>
        <v>V1033</v>
      </c>
      <c r="B34" s="6" t="str">
        <f aca="false">Raw_Data!B34</f>
        <v>P249</v>
      </c>
      <c r="C34" s="7" t="n">
        <f aca="false">Raw_Data!C34</f>
        <v>45396</v>
      </c>
      <c r="D34" s="6" t="str">
        <f aca="false">"Dr. "&amp;PROPER(TRIM(RIGHT(SUBSTITUTE(TRIM(SUBSTITUTE(Raw_Data!D34,".",""))," ",REPT(" ",100)),100)))</f>
        <v>Dr. Smith</v>
      </c>
      <c r="E34" s="6" t="str">
        <f aca="false">IFERROR(INDEX(Provider_Reference!$B$2:$B$5,MATCH(D34,Provider_Reference!$A$2:$A$5,0)),"Check spelling")</f>
        <v>Internal Medicine</v>
      </c>
      <c r="F34" s="6" t="str">
        <f aca="false">PROPER(Raw_Data!E34)</f>
        <v>New Patient</v>
      </c>
      <c r="G34" s="6" t="str">
        <f aca="false">IF(LEFT(TRIM(PROPER(Raw_Data!F34)),1)="Y","Yes","No")</f>
        <v>Yes</v>
      </c>
      <c r="H34" s="6" t="n">
        <f aca="false">IFERROR(IF(Raw_Data!G34="","",IF(ISNUMBER(Raw_Data!G34),Raw_Data!G34,"")),"")</f>
        <v>44</v>
      </c>
    </row>
    <row r="35" customFormat="false" ht="15" hidden="false" customHeight="false" outlineLevel="0" collapsed="false">
      <c r="A35" s="6" t="str">
        <f aca="false">Raw_Data!A35</f>
        <v>V1034</v>
      </c>
      <c r="B35" s="6" t="str">
        <f aca="false">Raw_Data!B35</f>
        <v>P242</v>
      </c>
      <c r="C35" s="7" t="n">
        <f aca="false">Raw_Data!C35</f>
        <v>45375</v>
      </c>
      <c r="D35" s="6" t="str">
        <f aca="false">"Dr. "&amp;PROPER(TRIM(RIGHT(SUBSTITUTE(TRIM(SUBSTITUTE(Raw_Data!D35,".",""))," ",REPT(" ",100)),100)))</f>
        <v>Dr. Patel</v>
      </c>
      <c r="E35" s="6" t="str">
        <f aca="false">IFERROR(INDEX(Provider_Reference!$B$2:$B$5,MATCH(D35,Provider_Reference!$A$2:$A$5,0)),"Check spelling")</f>
        <v>Pediatrics</v>
      </c>
      <c r="F35" s="6" t="str">
        <f aca="false">PROPER(Raw_Data!E35)</f>
        <v>Urgent</v>
      </c>
      <c r="G35" s="6" t="str">
        <f aca="false">IF(LEFT(TRIM(PROPER(Raw_Data!F35)),1)="Y","Yes","No")</f>
        <v>No</v>
      </c>
      <c r="H35" s="6" t="str">
        <f aca="false">IFERROR(IF(Raw_Data!G35="","",IF(ISNUMBER(Raw_Data!G35),Raw_Data!G35,"")),"")</f>
        <v/>
      </c>
    </row>
    <row r="36" customFormat="false" ht="15" hidden="false" customHeight="false" outlineLevel="0" collapsed="false">
      <c r="A36" s="6" t="str">
        <f aca="false">Raw_Data!A36</f>
        <v>V1035</v>
      </c>
      <c r="B36" s="6" t="str">
        <f aca="false">Raw_Data!B36</f>
        <v>P215</v>
      </c>
      <c r="C36" s="7" t="n">
        <f aca="false">Raw_Data!C36</f>
        <v>45356</v>
      </c>
      <c r="D36" s="6" t="str">
        <f aca="false">"Dr. "&amp;PROPER(TRIM(RIGHT(SUBSTITUTE(TRIM(SUBSTITUTE(Raw_Data!D36,".",""))," ",REPT(" ",100)),100)))</f>
        <v>Dr. Jones</v>
      </c>
      <c r="E36" s="6" t="str">
        <f aca="false">IFERROR(INDEX(Provider_Reference!$B$2:$B$5,MATCH(D36,Provider_Reference!$A$2:$A$5,0)),"Check spelling")</f>
        <v>Family Practice</v>
      </c>
      <c r="F36" s="6" t="str">
        <f aca="false">PROPER(Raw_Data!E36)</f>
        <v>Follow-Up</v>
      </c>
      <c r="G36" s="6" t="str">
        <f aca="false">IF(LEFT(TRIM(PROPER(Raw_Data!F36)),1)="Y","Yes","No")</f>
        <v>No</v>
      </c>
      <c r="H36" s="6" t="n">
        <f aca="false">IFERROR(IF(Raw_Data!G36="","",IF(ISNUMBER(Raw_Data!G36),Raw_Data!G36,"")),"")</f>
        <v>39</v>
      </c>
    </row>
    <row r="37" customFormat="false" ht="15" hidden="false" customHeight="false" outlineLevel="0" collapsed="false">
      <c r="A37" s="6" t="str">
        <f aca="false">Raw_Data!A37</f>
        <v>V1036</v>
      </c>
      <c r="B37" s="6" t="str">
        <f aca="false">Raw_Data!B37</f>
        <v>P215</v>
      </c>
      <c r="C37" s="7" t="n">
        <f aca="false">Raw_Data!C37</f>
        <v>45352</v>
      </c>
      <c r="D37" s="6" t="str">
        <f aca="false">"Dr. "&amp;PROPER(TRIM(RIGHT(SUBSTITUTE(TRIM(SUBSTITUTE(Raw_Data!D37,".",""))," ",REPT(" ",100)),100)))</f>
        <v>Dr. Smith</v>
      </c>
      <c r="E37" s="6" t="str">
        <f aca="false">IFERROR(INDEX(Provider_Reference!$B$2:$B$5,MATCH(D37,Provider_Reference!$A$2:$A$5,0)),"Check spelling")</f>
        <v>Internal Medicine</v>
      </c>
      <c r="F37" s="6" t="str">
        <f aca="false">PROPER(Raw_Data!E37)</f>
        <v>New Patient</v>
      </c>
      <c r="G37" s="6" t="str">
        <f aca="false">IF(LEFT(TRIM(PROPER(Raw_Data!F37)),1)="Y","Yes","No")</f>
        <v>No</v>
      </c>
      <c r="H37" s="6" t="str">
        <f aca="false">IFERROR(IF(Raw_Data!G37="","",IF(ISNUMBER(Raw_Data!G37),Raw_Data!G37,"")),"")</f>
        <v/>
      </c>
    </row>
    <row r="38" customFormat="false" ht="15" hidden="false" customHeight="false" outlineLevel="0" collapsed="false">
      <c r="A38" s="6" t="str">
        <f aca="false">Raw_Data!A38</f>
        <v>V1037</v>
      </c>
      <c r="B38" s="6" t="str">
        <f aca="false">Raw_Data!B38</f>
        <v>P205</v>
      </c>
      <c r="C38" s="7" t="n">
        <f aca="false">Raw_Data!C38</f>
        <v>45354</v>
      </c>
      <c r="D38" s="6" t="str">
        <f aca="false">"Dr. "&amp;PROPER(TRIM(RIGHT(SUBSTITUTE(TRIM(SUBSTITUTE(Raw_Data!D38,".",""))," ",REPT(" ",100)),100)))</f>
        <v>Dr. Jones</v>
      </c>
      <c r="E38" s="6" t="str">
        <f aca="false">IFERROR(INDEX(Provider_Reference!$B$2:$B$5,MATCH(D38,Provider_Reference!$A$2:$A$5,0)),"Check spelling")</f>
        <v>Family Practice</v>
      </c>
      <c r="F38" s="6" t="str">
        <f aca="false">PROPER(Raw_Data!E38)</f>
        <v>Follow-Up</v>
      </c>
      <c r="G38" s="6" t="str">
        <f aca="false">IF(LEFT(TRIM(PROPER(Raw_Data!F38)),1)="Y","Yes","No")</f>
        <v>No</v>
      </c>
      <c r="H38" s="6" t="n">
        <f aca="false">IFERROR(IF(Raw_Data!G38="","",IF(ISNUMBER(Raw_Data!G38),Raw_Data!G38,"")),"")</f>
        <v>44</v>
      </c>
    </row>
    <row r="39" customFormat="false" ht="15" hidden="false" customHeight="false" outlineLevel="0" collapsed="false">
      <c r="A39" s="6" t="str">
        <f aca="false">Raw_Data!A39</f>
        <v>V1038</v>
      </c>
      <c r="B39" s="6" t="str">
        <f aca="false">Raw_Data!B39</f>
        <v>P232</v>
      </c>
      <c r="C39" s="7" t="n">
        <f aca="false">Raw_Data!C39</f>
        <v>45365</v>
      </c>
      <c r="D39" s="6" t="str">
        <f aca="false">"Dr. "&amp;PROPER(TRIM(RIGHT(SUBSTITUTE(TRIM(SUBSTITUTE(Raw_Data!D39,".",""))," ",REPT(" ",100)),100)))</f>
        <v>Dr. Patel</v>
      </c>
      <c r="E39" s="6" t="str">
        <f aca="false">IFERROR(INDEX(Provider_Reference!$B$2:$B$5,MATCH(D39,Provider_Reference!$A$2:$A$5,0)),"Check spelling")</f>
        <v>Pediatrics</v>
      </c>
      <c r="F39" s="6" t="str">
        <f aca="false">PROPER(Raw_Data!E39)</f>
        <v>New Patient</v>
      </c>
      <c r="G39" s="6" t="str">
        <f aca="false">IF(LEFT(TRIM(PROPER(Raw_Data!F39)),1)="Y","Yes","No")</f>
        <v>No</v>
      </c>
      <c r="H39" s="6" t="n">
        <f aca="false">IFERROR(IF(Raw_Data!G39="","",IF(ISNUMBER(Raw_Data!G39),Raw_Data!G39,"")),"")</f>
        <v>38</v>
      </c>
    </row>
    <row r="40" customFormat="false" ht="15" hidden="false" customHeight="false" outlineLevel="0" collapsed="false">
      <c r="A40" s="6" t="str">
        <f aca="false">Raw_Data!A40</f>
        <v>V1039</v>
      </c>
      <c r="B40" s="6" t="str">
        <f aca="false">Raw_Data!B40</f>
        <v>P237</v>
      </c>
      <c r="C40" s="7" t="n">
        <f aca="false">Raw_Data!C40</f>
        <v>45382</v>
      </c>
      <c r="D40" s="6" t="str">
        <f aca="false">"Dr. "&amp;PROPER(TRIM(RIGHT(SUBSTITUTE(TRIM(SUBSTITUTE(Raw_Data!D40,".",""))," ",REPT(" ",100)),100)))</f>
        <v>Dr. Smith</v>
      </c>
      <c r="E40" s="6" t="str">
        <f aca="false">IFERROR(INDEX(Provider_Reference!$B$2:$B$5,MATCH(D40,Provider_Reference!$A$2:$A$5,0)),"Check spelling")</f>
        <v>Internal Medicine</v>
      </c>
      <c r="F40" s="6" t="str">
        <f aca="false">PROPER(Raw_Data!E40)</f>
        <v>Follow-Up</v>
      </c>
      <c r="G40" s="6" t="str">
        <f aca="false">IF(LEFT(TRIM(PROPER(Raw_Data!F40)),1)="Y","Yes","No")</f>
        <v>Yes</v>
      </c>
      <c r="H40" s="6" t="n">
        <f aca="false">IFERROR(IF(Raw_Data!G40="","",IF(ISNUMBER(Raw_Data!G40),Raw_Data!G40,"")),"")</f>
        <v>8</v>
      </c>
    </row>
    <row r="41" customFormat="false" ht="15" hidden="false" customHeight="false" outlineLevel="0" collapsed="false">
      <c r="A41" s="6" t="str">
        <f aca="false">Raw_Data!A41</f>
        <v>V1040</v>
      </c>
      <c r="B41" s="6" t="str">
        <f aca="false">Raw_Data!B41</f>
        <v>P207</v>
      </c>
      <c r="C41" s="7" t="n">
        <f aca="false">Raw_Data!C41</f>
        <v>45394</v>
      </c>
      <c r="D41" s="6" t="str">
        <f aca="false">"Dr. "&amp;PROPER(TRIM(RIGHT(SUBSTITUTE(TRIM(SUBSTITUTE(Raw_Data!D41,".",""))," ",REPT(" ",100)),100)))</f>
        <v>Dr. Jones</v>
      </c>
      <c r="E41" s="6" t="str">
        <f aca="false">IFERROR(INDEX(Provider_Reference!$B$2:$B$5,MATCH(D41,Provider_Reference!$A$2:$A$5,0)),"Check spelling")</f>
        <v>Family Practice</v>
      </c>
      <c r="F41" s="6" t="str">
        <f aca="false">PROPER(Raw_Data!E41)</f>
        <v>Urgent</v>
      </c>
      <c r="G41" s="6" t="str">
        <f aca="false">IF(LEFT(TRIM(PROPER(Raw_Data!F41)),1)="Y","Yes","No")</f>
        <v>No</v>
      </c>
      <c r="H41" s="6" t="n">
        <f aca="false">IFERROR(IF(Raw_Data!G41="","",IF(ISNUMBER(Raw_Data!G41),Raw_Data!G41,"")),"")</f>
        <v>48</v>
      </c>
    </row>
    <row r="44" customFormat="false" ht="15" hidden="false" customHeight="false" outlineLevel="0" collapsed="false">
      <c r="A44" s="8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9" t="s">
        <v>135</v>
      </c>
      <c r="B1" s="9"/>
      <c r="C1" s="9"/>
      <c r="D1" s="9"/>
      <c r="E1" s="9"/>
    </row>
    <row r="3" customFormat="false" ht="15" hidden="false" customHeight="false" outlineLevel="0" collapsed="false">
      <c r="A3" s="10" t="s">
        <v>136</v>
      </c>
    </row>
    <row r="4" customFormat="false" ht="15" hidden="false" customHeight="false" outlineLevel="0" collapsed="false">
      <c r="A4" s="5" t="s">
        <v>126</v>
      </c>
      <c r="B4" s="5" t="s">
        <v>137</v>
      </c>
      <c r="C4" s="5" t="s">
        <v>138</v>
      </c>
      <c r="D4" s="5" t="s">
        <v>139</v>
      </c>
      <c r="E4" s="5" t="s">
        <v>140</v>
      </c>
    </row>
    <row r="5" customFormat="false" ht="15" hidden="false" customHeight="false" outlineLevel="0" collapsed="false">
      <c r="A5" s="6" t="s">
        <v>127</v>
      </c>
      <c r="B5" s="6" t="n">
        <f aca="false">COUNTIF(Cleaned_Data!$E$2:$E$41,A5)</f>
        <v>14</v>
      </c>
      <c r="C5" s="6" t="n">
        <f aca="false">COUNTIFS(Cleaned_Data!$E$2:$E$41,A5,Cleaned_Data!$G$2:$G$41,"Yes")</f>
        <v>6</v>
      </c>
      <c r="D5" s="11" t="n">
        <f aca="false">IFERROR(C5/B5,0)</f>
        <v>0.428571428571429</v>
      </c>
      <c r="E5" s="12" t="n">
        <f aca="false">IFERROR(AVERAGEIFS(Cleaned_Data!$H$2:$H$41,Cleaned_Data!$E$2:$E$41,A5),0)</f>
        <v>29.9090909090909</v>
      </c>
    </row>
    <row r="6" customFormat="false" ht="15" hidden="false" customHeight="false" outlineLevel="0" collapsed="false">
      <c r="A6" s="6" t="s">
        <v>128</v>
      </c>
      <c r="B6" s="6" t="n">
        <f aca="false">COUNTIF(Cleaned_Data!$E$2:$E$41,A6)</f>
        <v>9</v>
      </c>
      <c r="C6" s="6" t="n">
        <f aca="false">COUNTIFS(Cleaned_Data!$E$2:$E$41,A6,Cleaned_Data!$G$2:$G$41,"Yes")</f>
        <v>3</v>
      </c>
      <c r="D6" s="11" t="n">
        <f aca="false">IFERROR(C6/B6,0)</f>
        <v>0.333333333333333</v>
      </c>
      <c r="E6" s="12" t="n">
        <f aca="false">IFERROR(AVERAGEIFS(Cleaned_Data!$H$2:$H$41,Cleaned_Data!$E$2:$E$41,A6),0)</f>
        <v>32.625</v>
      </c>
    </row>
    <row r="7" customFormat="false" ht="15" hidden="false" customHeight="false" outlineLevel="0" collapsed="false">
      <c r="A7" s="6" t="s">
        <v>129</v>
      </c>
      <c r="B7" s="6" t="n">
        <f aca="false">COUNTIF(Cleaned_Data!$E$2:$E$41,A7)</f>
        <v>12</v>
      </c>
      <c r="C7" s="6" t="n">
        <f aca="false">COUNTIFS(Cleaned_Data!$E$2:$E$41,A7,Cleaned_Data!$G$2:$G$41,"Yes")</f>
        <v>6</v>
      </c>
      <c r="D7" s="11" t="n">
        <f aca="false">IFERROR(C7/B7,0)</f>
        <v>0.5</v>
      </c>
      <c r="E7" s="12" t="n">
        <f aca="false">IFERROR(AVERAGEIFS(Cleaned_Data!$H$2:$H$41,Cleaned_Data!$E$2:$E$41,A7),0)</f>
        <v>34</v>
      </c>
    </row>
    <row r="8" customFormat="false" ht="15" hidden="false" customHeight="false" outlineLevel="0" collapsed="false">
      <c r="A8" s="6" t="s">
        <v>130</v>
      </c>
      <c r="B8" s="6" t="n">
        <f aca="false">COUNTIF(Cleaned_Data!$E$2:$E$41,A8)</f>
        <v>5</v>
      </c>
      <c r="C8" s="6" t="n">
        <f aca="false">COUNTIFS(Cleaned_Data!$E$2:$E$41,A8,Cleaned_Data!$G$2:$G$41,"Yes")</f>
        <v>2</v>
      </c>
      <c r="D8" s="11" t="n">
        <f aca="false">IFERROR(C8/B8,0)</f>
        <v>0.4</v>
      </c>
      <c r="E8" s="12" t="n">
        <f aca="false">IFERROR(AVERAGEIFS(Cleaned_Data!$H$2:$H$41,Cleaned_Data!$E$2:$E$41,A8),0)</f>
        <v>23.3333333333333</v>
      </c>
    </row>
    <row r="9" customFormat="false" ht="15" hidden="false" customHeight="false" outlineLevel="0" collapsed="false">
      <c r="A9" s="13" t="s">
        <v>141</v>
      </c>
      <c r="B9" s="13" t="n">
        <f aca="false">SUM(B5:B8)</f>
        <v>40</v>
      </c>
      <c r="C9" s="13" t="n">
        <f aca="false">SUM(C5:C8)</f>
        <v>17</v>
      </c>
      <c r="D9" s="14" t="n">
        <f aca="false">IFERROR(C9/B9,0)</f>
        <v>0.425</v>
      </c>
      <c r="E9" s="15" t="n">
        <f aca="false">IFERROR(AVERAGE(Cleaned_Data!$H$2:$H$41),0)</f>
        <v>31.1612903225806</v>
      </c>
    </row>
    <row r="11" customFormat="false" ht="15" hidden="false" customHeight="false" outlineLevel="0" collapsed="false">
      <c r="A11" s="8" t="s">
        <v>142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2026-07-29T19:01:37Z</dcterms:created>
  <dc:creator>openpyxl</dc:creator>
  <dc:description/>
  <dc:language>en-US</dc:language>
  <cp:lastModifiedBy/>
  <dcterms:modified xsi:type="dcterms:W3CDTF">2026-07-29T19:01:39Z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